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D:\Downloads\Projects\MRP\"/>
    </mc:Choice>
  </mc:AlternateContent>
  <xr:revisionPtr revIDLastSave="0" documentId="13_ncr:1_{D6ECA530-4410-469E-A18A-416AF44606E0}" xr6:coauthVersionLast="47" xr6:coauthVersionMax="47" xr10:uidLastSave="{00000000-0000-0000-0000-000000000000}"/>
  <bookViews>
    <workbookView xWindow="-120" yWindow="-120" windowWidth="38640" windowHeight="21840" tabRatio="741" xr2:uid="{AEEA8C2E-1158-48F3-86C1-78127681CA92}"/>
  </bookViews>
  <sheets>
    <sheet name="Input" sheetId="1" r:id="rId1"/>
    <sheet name="Summary" sheetId="2" r:id="rId2"/>
    <sheet name="Item A" sheetId="3" r:id="rId3"/>
    <sheet name="Item B" sheetId="9" r:id="rId4"/>
    <sheet name="Item C" sheetId="10" r:id="rId5"/>
    <sheet name="Item D" sheetId="11" r:id="rId6"/>
    <sheet name="Item E" sheetId="12" r:id="rId7"/>
    <sheet name="Raw F" sheetId="13" r:id="rId8"/>
    <sheet name="Raw G" sheetId="14" r:id="rId9"/>
    <sheet name="Raw H" sheetId="15" r:id="rId10"/>
    <sheet name="Raw I" sheetId="16" r:id="rId11"/>
    <sheet name="WW" sheetId="17" r:id="rId12"/>
    <sheet name="S&amp;M" sheetId="19" r:id="rId13"/>
    <sheet name="LFL" sheetId="21" r:id="rId14"/>
    <sheet name="FP" sheetId="20" r:id="rId15"/>
    <sheet name="LP" sheetId="25" r:id="rId16"/>
  </sheets>
  <functionGroups builtInGroupCount="19"/>
  <definedNames>
    <definedName name="A_D">'Item A'!$B$11:$K$11</definedName>
    <definedName name="A_DATA">'Item A'!$D$3:$J$3</definedName>
    <definedName name="A_ED">'Item A'!$B$6:$K$6</definedName>
    <definedName name="A_ID">'Item A'!$B$7:$K$7</definedName>
    <definedName name="A_LS">'Item A'!$D$3</definedName>
    <definedName name="A_LT">'Item A'!$E$3</definedName>
    <definedName name="A_OH">'Item A'!$G$3</definedName>
    <definedName name="A_Q">'Item A'!$B$13:$K$13</definedName>
    <definedName name="A_R">'Item A'!$B$8:$K$8</definedName>
    <definedName name="A_SS">'Item A'!$F$3</definedName>
    <definedName name="A_V">'Item A'!$B$12:$K$12</definedName>
    <definedName name="A_X">'Item A'!$B$9:$K$9</definedName>
    <definedName name="A_Y">'Item A'!$B$10:$K$10</definedName>
    <definedName name="B_D">'Item B'!$B$11:$K$11</definedName>
    <definedName name="B_DATA">'Item B'!$D$3:$J$3</definedName>
    <definedName name="B_ED">'Item B'!$B$6:$K$6</definedName>
    <definedName name="B_ID">'Item B'!$B$7:$K$7</definedName>
    <definedName name="B_LS">'Item B'!$D$3</definedName>
    <definedName name="B_LT">'Item B'!$E$3</definedName>
    <definedName name="B_OH">'Item B'!$G$3</definedName>
    <definedName name="B_Q">'Item B'!$B$13:$K$13</definedName>
    <definedName name="B_R">'Item B'!$B$8:$K$8</definedName>
    <definedName name="B_SS">'Item B'!$F$3</definedName>
    <definedName name="B_V">'Item B'!$B$12:$K$12</definedName>
    <definedName name="B_X">'Item B'!$B$9:$K$9</definedName>
    <definedName name="B_Y">'Item B'!$B$10:$K$10</definedName>
    <definedName name="C_D">'Item C'!$B$11:$K$11</definedName>
    <definedName name="C_DATA">'Item C'!$D$3:$J$3</definedName>
    <definedName name="C_ED">'Item C'!$B$6:$K$6</definedName>
    <definedName name="C_ID">'Item C'!$B$7:$K$7</definedName>
    <definedName name="C_LS">'Item C'!$D$3</definedName>
    <definedName name="C_LT">'Item C'!$E$3</definedName>
    <definedName name="C_OH">'Item C'!$G$3</definedName>
    <definedName name="C_Q">'Item C'!$B$13:$K$13</definedName>
    <definedName name="C_R">'Item C'!$B$8:$K$8</definedName>
    <definedName name="C_SS">'Item C'!$F$3</definedName>
    <definedName name="C_V">'Item C'!$B$12:$K$12</definedName>
    <definedName name="C_X">'Item C'!$B$9:$K$9</definedName>
    <definedName name="C_Y">'Item C'!$B$10:$K$10</definedName>
    <definedName name="D_D">'Item D'!$B$11:$K$11</definedName>
    <definedName name="D_DATA">'Item D'!$D$3:$J$3</definedName>
    <definedName name="D_ED">'Item D'!$B$6:$K$6</definedName>
    <definedName name="D_ID">'Item D'!$B$7:$K$7</definedName>
    <definedName name="D_LS">'Item D'!$D$3</definedName>
    <definedName name="D_LT">'Item D'!$E$3</definedName>
    <definedName name="D_OH">'Item D'!$G$3</definedName>
    <definedName name="D_Q">'Item D'!$B$13:$K$13</definedName>
    <definedName name="D_R">'Item D'!$B$8:$K$8</definedName>
    <definedName name="D_SS">'Item D'!$F$3</definedName>
    <definedName name="D_V">'Item D'!$B$12:$K$12</definedName>
    <definedName name="D_X">'Item D'!$B$9:$K$9</definedName>
    <definedName name="D_Y">'Item D'!$B$10:$K$10</definedName>
    <definedName name="DATA_A">Input!$B$3:$H$3</definedName>
    <definedName name="DATA_B">Input!$B$4:$H$4</definedName>
    <definedName name="DATA_C">Input!$B$5:$H$5</definedName>
    <definedName name="DATA_D">Input!$B$6:$H$6</definedName>
    <definedName name="DATA_E">Input!$B$7:$H$7</definedName>
    <definedName name="DATA_F">Input!$C$11:$M$11</definedName>
    <definedName name="DATA_G">Input!$C$12:$M$12</definedName>
    <definedName name="DATA_H">Input!$C$13:$M$13</definedName>
    <definedName name="DATA_I">Input!$C$14:$M$14</definedName>
    <definedName name="E_D">'Item E'!$B$11:$K$11</definedName>
    <definedName name="E_DATA">'Item E'!$D$3:$J$3</definedName>
    <definedName name="E_ED">'Item E'!$B$6:$K$6</definedName>
    <definedName name="E_ID">'Item E'!$B$7:$K$7</definedName>
    <definedName name="E_LS">'Item E'!$D$3</definedName>
    <definedName name="E_LT">'Item E'!$E$3</definedName>
    <definedName name="E_OH">'Item E'!$G$3</definedName>
    <definedName name="E_Q">'Item E'!$B$13:$K$13</definedName>
    <definedName name="E_R">'Item E'!$B$8:$K$8</definedName>
    <definedName name="E_SS">'Item E'!$F$3</definedName>
    <definedName name="E_V">'Item E'!$B$12:$K$12</definedName>
    <definedName name="E_X">'Item E'!$B$9:$K$9</definedName>
    <definedName name="E_Y">'Item E'!$B$10:$K$10</definedName>
    <definedName name="ED_A">Input!$B$30:$K$30</definedName>
    <definedName name="ED_B">Input!$B$31:$K$31</definedName>
    <definedName name="ED_C">Input!$B$32:$K$32</definedName>
    <definedName name="ED_D">Input!$B$33:$K$33</definedName>
    <definedName name="ED_E">Input!$B$34:$K$34</definedName>
    <definedName name="ED_F">Input!$B$35:$K$35</definedName>
    <definedName name="ED_G">Input!$B$36:$K$36</definedName>
    <definedName name="ED_H">Input!$B$37:$K$37</definedName>
    <definedName name="ED_I">Input!$B$38:$K$38</definedName>
    <definedName name="F_B1">'Raw F'!$B$13:$K$13</definedName>
    <definedName name="F_B2">'Raw F'!$B$14:$K$14</definedName>
    <definedName name="F_D">'Raw F'!$B$11:$K$11</definedName>
    <definedName name="F_DATA">'Raw F'!$D$3:$N$3</definedName>
    <definedName name="F_ED">'Raw F'!$B$6:$K$6</definedName>
    <definedName name="F_ID">'Raw F'!$B$7:$K$7</definedName>
    <definedName name="F_LT">'Raw F'!$D$3</definedName>
    <definedName name="F_OH">'Raw F'!$F$3</definedName>
    <definedName name="F_Q">'Raw F'!$B$15:$K$15</definedName>
    <definedName name="F_R">'Raw F'!$B$8:$K$8</definedName>
    <definedName name="F_SS">'Raw F'!$E$3</definedName>
    <definedName name="F_V">'Raw F'!$B$12:$K$12</definedName>
    <definedName name="F_X">'Raw F'!$B$9:$K$9</definedName>
    <definedName name="F_Y">'Raw F'!$B$10:$K$10</definedName>
    <definedName name="FP_h">FP!$B$3</definedName>
    <definedName name="FP_k">FP!$A$3</definedName>
    <definedName name="FP_Q">FP!$B$8:$K$8</definedName>
    <definedName name="FP_size">FP!$C$3</definedName>
    <definedName name="FP_V">FP!$B$7:$K$7</definedName>
    <definedName name="G_B1">'Raw G'!$B$13:$K$13</definedName>
    <definedName name="G_B2">'Raw G'!$B$14:$K$14</definedName>
    <definedName name="G_D">'Raw G'!$B$11:$K$11</definedName>
    <definedName name="G_DATA">'Raw G'!$D$3:$N$3</definedName>
    <definedName name="G_ED">'Raw G'!$B$6:$K$6</definedName>
    <definedName name="G_ID">'Raw G'!$B$7:$K$7</definedName>
    <definedName name="G_LT">'Raw G'!$D$3</definedName>
    <definedName name="G_OH">'Raw G'!$F$3</definedName>
    <definedName name="G_Q">'Raw G'!$B$15:$K$15</definedName>
    <definedName name="G_R">'Raw G'!$B$8:$K$8</definedName>
    <definedName name="G_SS">'Raw G'!$E$3</definedName>
    <definedName name="G_V">'Raw G'!$B$12:$K$12</definedName>
    <definedName name="G_X">'Raw G'!$B$9:$K$9</definedName>
    <definedName name="G_Y">'Raw G'!$B$10:$K$10</definedName>
    <definedName name="H_B1">'Raw H'!$B$13:$K$13</definedName>
    <definedName name="H_B2">'Raw H'!$B$14:$K$14</definedName>
    <definedName name="H_D">'Raw H'!$B$11:$K$11</definedName>
    <definedName name="H_DATA">'Raw H'!$D$3:$N$3</definedName>
    <definedName name="H_ED">'Raw H'!$B$6:$K$6</definedName>
    <definedName name="H_ID">'Raw H'!$B$7:$K$7</definedName>
    <definedName name="H_LT">'Raw H'!$D$3</definedName>
    <definedName name="H_OH">'Raw H'!$F$3</definedName>
    <definedName name="H_Q">'Raw H'!$B$15:$K$15</definedName>
    <definedName name="H_R">'Raw H'!$B$8:$K$8</definedName>
    <definedName name="H_SS">'Raw H'!$E$3</definedName>
    <definedName name="H_V">'Raw H'!$B$12:$K$12</definedName>
    <definedName name="H_X">'Raw H'!$B$9:$K$9</definedName>
    <definedName name="H_Y">'Raw H'!$B$10:$K$10</definedName>
    <definedName name="I_B1">'Raw I'!$B$13:$K$13</definedName>
    <definedName name="I_B2">'Raw I'!$B$14:$K$14</definedName>
    <definedName name="I_D">'Raw I'!$B$11:$K$11</definedName>
    <definedName name="I_DATA">'Raw I'!$D$3:$N$3</definedName>
    <definedName name="I_ED">'Raw I'!$B$6:$K$6</definedName>
    <definedName name="I_ID">'Raw I'!$B$7:$K$7</definedName>
    <definedName name="I_LT">'Raw I'!$D$3</definedName>
    <definedName name="I_OH">'Raw I'!$F$3</definedName>
    <definedName name="I_Q">'Raw I'!$B$15:$K$15</definedName>
    <definedName name="I_R">'Raw I'!$B$8:$K$8</definedName>
    <definedName name="I_SS">'Raw I'!$E$3</definedName>
    <definedName name="I_V">'Raw I'!$B$12:$K$12</definedName>
    <definedName name="I_X">'Raw I'!$B$9:$K$9</definedName>
    <definedName name="I_Y">'Raw I'!$B$10:$K$10</definedName>
    <definedName name="LFL_h">LFL!$B$3</definedName>
    <definedName name="LFL_k">LFL!$A$3</definedName>
    <definedName name="LFL_Q">LFL!$B$8:$K$8</definedName>
    <definedName name="LFL_V">LFL!$B$7:$K$7</definedName>
    <definedName name="LOT">#REF!</definedName>
    <definedName name="LP_B1">LP!$C$4:$C$14</definedName>
    <definedName name="LP_B1_SOLUTION">LP!$AA$7:$AJ$7</definedName>
    <definedName name="LP_B2">LP!$E$4:$E$14</definedName>
    <definedName name="LP_B2_SOLUTION">LP!$AA$8:$AJ$8</definedName>
    <definedName name="LP_DATA">LP!$N$4:$N$11</definedName>
    <definedName name="LP_I">LP!$S$4:$S$14</definedName>
    <definedName name="LP_I0">LP!$S$4</definedName>
    <definedName name="LP_INPUT">LP!$P$4:$P$14,LP!$N$4:$N$11</definedName>
    <definedName name="LP_Objective">LP!$Z$3</definedName>
    <definedName name="LP_Positive">LP!$H$23:$H$33</definedName>
    <definedName name="LP_Q">LP!$X$4:$X$14</definedName>
    <definedName name="LP_Q_SOLUTION">LP!$AA$9:$AJ$9</definedName>
    <definedName name="LP_Unnegative">LP!$H$23:$H$33</definedName>
    <definedName name="LP_V">LP!$P$5:$P$14</definedName>
    <definedName name="LP_V0">LP!$P$4</definedName>
    <definedName name="LP_Vars">LP!$C$4:$C$14,LP!$E$4:$E$14</definedName>
    <definedName name="LP_VT">LP!$P$5:$P$14</definedName>
    <definedName name="Q_A">Summary!$B$3:$K$3</definedName>
    <definedName name="Q_B">Summary!$B$4:$K$4</definedName>
    <definedName name="Q_C">Summary!$B$5:$K$5</definedName>
    <definedName name="Q_D">Summary!$B$6:$K$6</definedName>
    <definedName name="Q_E">Summary!$B$7:$K$7</definedName>
    <definedName name="Q_F">Summary!$B$8:$K$8</definedName>
    <definedName name="Q_G">Summary!$B$9:$K$9</definedName>
    <definedName name="Q_H">Summary!$B$10:$K$10</definedName>
    <definedName name="Q_I">Summary!$B$11:$K$11</definedName>
    <definedName name="SM_h">'S&amp;M'!$B$3</definedName>
    <definedName name="SM_k">'S&amp;M'!$A$3</definedName>
    <definedName name="SM_pre">'S&amp;M'!$B$9:$L$9</definedName>
    <definedName name="SM_Q">'S&amp;M'!$B$8:$L$8</definedName>
    <definedName name="SM_V">'S&amp;M'!$B$7:$L$7</definedName>
    <definedName name="solver_adj" localSheetId="15" hidden="1">LP!$C$4:$C$14,LP!$E$4:$E$14</definedName>
    <definedName name="solver_cvg" localSheetId="15" hidden="1">0.0001</definedName>
    <definedName name="solver_drv" localSheetId="15" hidden="1">1</definedName>
    <definedName name="solver_eng" localSheetId="0" hidden="1">3</definedName>
    <definedName name="solver_eng" localSheetId="15" hidden="1">3</definedName>
    <definedName name="solver_eng" localSheetId="1" hidden="1">1</definedName>
    <definedName name="solver_est" localSheetId="15" hidden="1">1</definedName>
    <definedName name="solver_itr" localSheetId="15" hidden="1">2147483647</definedName>
    <definedName name="solver_lhs1" localSheetId="0" hidden="1">Input!$C$4:$C$14</definedName>
    <definedName name="solver_lhs1" localSheetId="15" hidden="1">LP!$C$4:$C$14</definedName>
    <definedName name="solver_lhs10" localSheetId="0" hidden="1">Input!$S$4:$S$14</definedName>
    <definedName name="solver_lhs10" localSheetId="15" hidden="1">LP!$E$4:$E$14</definedName>
    <definedName name="solver_lhs100" localSheetId="0" hidden="1">Input!$S$4:$S$14</definedName>
    <definedName name="solver_lhs101" localSheetId="0" hidden="1">Input!$S$4</definedName>
    <definedName name="solver_lhs102" localSheetId="0" hidden="1">Input!$X$4:$X$14</definedName>
    <definedName name="solver_lhs103" localSheetId="0" hidden="1">Input!$C$4:$C$14</definedName>
    <definedName name="solver_lhs104" localSheetId="0" hidden="1">Input!$E$4:$E$14</definedName>
    <definedName name="solver_lhs105" localSheetId="0" hidden="1">Input!$X$4:$X$14</definedName>
    <definedName name="solver_lhs106" localSheetId="0" hidden="1">Input!$S$4:$S$14</definedName>
    <definedName name="solver_lhs107" localSheetId="0" hidden="1">Input!$S$4</definedName>
    <definedName name="solver_lhs108" localSheetId="0" hidden="1">Input!$X$4:$X$14</definedName>
    <definedName name="solver_lhs109" localSheetId="0" hidden="1">Input!$C$4:$C$14</definedName>
    <definedName name="solver_lhs11" localSheetId="0" hidden="1">Input!$S$4</definedName>
    <definedName name="solver_lhs11" localSheetId="15" hidden="1">LP!$X$4:$X$14</definedName>
    <definedName name="solver_lhs110" localSheetId="0" hidden="1">Input!$E$4:$E$14</definedName>
    <definedName name="solver_lhs111" localSheetId="0" hidden="1">Input!$X$4:$X$14</definedName>
    <definedName name="solver_lhs112" localSheetId="0" hidden="1">Input!$S$4:$S$14</definedName>
    <definedName name="solver_lhs113" localSheetId="0" hidden="1">Input!$S$4</definedName>
    <definedName name="solver_lhs114" localSheetId="0" hidden="1">Input!$X$4:$X$14</definedName>
    <definedName name="solver_lhs115" localSheetId="0" hidden="1">Input!$C$4:$C$14</definedName>
    <definedName name="solver_lhs116" localSheetId="0" hidden="1">Input!$E$4:$E$14</definedName>
    <definedName name="solver_lhs117" localSheetId="0" hidden="1">Input!$X$4:$X$14</definedName>
    <definedName name="solver_lhs118" localSheetId="0" hidden="1">Input!$S$4:$S$14</definedName>
    <definedName name="solver_lhs119" localSheetId="0" hidden="1">Input!$S$4</definedName>
    <definedName name="solver_lhs12" localSheetId="0" hidden="1">Input!$X$4:$X$14</definedName>
    <definedName name="solver_lhs12" localSheetId="15" hidden="1">LP!$S$4:$S$14</definedName>
    <definedName name="solver_lhs120" localSheetId="0" hidden="1">Input!$X$4:$X$14</definedName>
    <definedName name="solver_lhs121" localSheetId="0" hidden="1">Input!$C$4:$C$14</definedName>
    <definedName name="solver_lhs122" localSheetId="0" hidden="1">Input!$E$4:$E$14</definedName>
    <definedName name="solver_lhs123" localSheetId="0" hidden="1">Input!$X$4:$X$14</definedName>
    <definedName name="solver_lhs124" localSheetId="0" hidden="1">Input!$S$4:$S$14</definedName>
    <definedName name="solver_lhs125" localSheetId="0" hidden="1">Input!$S$4</definedName>
    <definedName name="solver_lhs126" localSheetId="0" hidden="1">Input!$X$4:$X$14</definedName>
    <definedName name="solver_lhs127" localSheetId="0" hidden="1">Input!$C$4:$C$14</definedName>
    <definedName name="solver_lhs128" localSheetId="0" hidden="1">Input!$E$4:$E$14</definedName>
    <definedName name="solver_lhs129" localSheetId="0" hidden="1">Input!$X$4:$X$14</definedName>
    <definedName name="solver_lhs13" localSheetId="0" hidden="1">Input!$C$4:$C$14</definedName>
    <definedName name="solver_lhs13" localSheetId="15" hidden="1">LP!$C$4:$C$14</definedName>
    <definedName name="solver_lhs130" localSheetId="0" hidden="1">Input!$S$4:$S$14</definedName>
    <definedName name="solver_lhs131" localSheetId="0" hidden="1">Input!$S$4</definedName>
    <definedName name="solver_lhs132" localSheetId="0" hidden="1">Input!$X$4:$X$14</definedName>
    <definedName name="solver_lhs133" localSheetId="0" hidden="1">Input!$C$4:$C$14</definedName>
    <definedName name="solver_lhs134" localSheetId="0" hidden="1">Input!$E$4:$E$14</definedName>
    <definedName name="solver_lhs135" localSheetId="0" hidden="1">Input!$X$4:$X$14</definedName>
    <definedName name="solver_lhs136" localSheetId="0" hidden="1">Input!$S$4:$S$14</definedName>
    <definedName name="solver_lhs137" localSheetId="0" hidden="1">Input!$S$4</definedName>
    <definedName name="solver_lhs138" localSheetId="0" hidden="1">Input!$X$4:$X$14</definedName>
    <definedName name="solver_lhs14" localSheetId="0" hidden="1">Input!$E$4:$E$14</definedName>
    <definedName name="solver_lhs14" localSheetId="15" hidden="1">LP!$E$4:$E$14</definedName>
    <definedName name="solver_lhs15" localSheetId="0" hidden="1">Input!$X$4:$X$14</definedName>
    <definedName name="solver_lhs15" localSheetId="15" hidden="1">LP!$S$4</definedName>
    <definedName name="solver_lhs16" localSheetId="0" hidden="1">Input!$S$4:$S$14</definedName>
    <definedName name="solver_lhs16" localSheetId="15" hidden="1">LP!$P$4</definedName>
    <definedName name="solver_lhs17" localSheetId="0" hidden="1">Input!$S$4</definedName>
    <definedName name="solver_lhs17" localSheetId="15" hidden="1">LP!$E$4:$E$14</definedName>
    <definedName name="solver_lhs18" localSheetId="0" hidden="1">Input!$X$4:$X$14</definedName>
    <definedName name="solver_lhs18" localSheetId="15" hidden="1">LP!$E$4:$E$14</definedName>
    <definedName name="solver_lhs19" localSheetId="0" hidden="1">Input!$C$4:$C$14</definedName>
    <definedName name="solver_lhs19" localSheetId="15" hidden="1">LP!$C$4:$C$14</definedName>
    <definedName name="solver_lhs2" localSheetId="0" hidden="1">Input!$E$4:$E$14</definedName>
    <definedName name="solver_lhs2" localSheetId="15" hidden="1">LP!$E$4:$E$14</definedName>
    <definedName name="solver_lhs20" localSheetId="0" hidden="1">Input!$E$4:$E$14</definedName>
    <definedName name="solver_lhs20" localSheetId="15" hidden="1">LP!$S$4:$S$14</definedName>
    <definedName name="solver_lhs21" localSheetId="0" hidden="1">Input!$X$4:$X$14</definedName>
    <definedName name="solver_lhs21" localSheetId="15" hidden="1">LP!$X$4:$X$14</definedName>
    <definedName name="solver_lhs22" localSheetId="0" hidden="1">Input!$S$4:$S$14</definedName>
    <definedName name="solver_lhs22" localSheetId="15" hidden="1">LP!$S$4</definedName>
    <definedName name="solver_lhs23" localSheetId="0" hidden="1">Input!$S$4</definedName>
    <definedName name="solver_lhs23" localSheetId="15" hidden="1">LP!$S$4</definedName>
    <definedName name="solver_lhs24" localSheetId="0" hidden="1">Input!$X$4:$X$14</definedName>
    <definedName name="solver_lhs25" localSheetId="0" hidden="1">Input!$C$4:$C$14</definedName>
    <definedName name="solver_lhs26" localSheetId="0" hidden="1">Input!$E$4:$E$14</definedName>
    <definedName name="solver_lhs27" localSheetId="0" hidden="1">Input!$X$4:$X$14</definedName>
    <definedName name="solver_lhs28" localSheetId="0" hidden="1">Input!$S$4:$S$14</definedName>
    <definedName name="solver_lhs29" localSheetId="0" hidden="1">Input!$S$4</definedName>
    <definedName name="solver_lhs3" localSheetId="0" hidden="1">Input!$X$4:$X$14</definedName>
    <definedName name="solver_lhs3" localSheetId="15" hidden="1">LP!$X$4:$X$14</definedName>
    <definedName name="solver_lhs30" localSheetId="0" hidden="1">Input!$X$4:$X$14</definedName>
    <definedName name="solver_lhs31" localSheetId="0" hidden="1">Input!$C$4:$C$14</definedName>
    <definedName name="solver_lhs32" localSheetId="0" hidden="1">Input!$E$4:$E$14</definedName>
    <definedName name="solver_lhs33" localSheetId="0" hidden="1">Input!$X$4:$X$14</definedName>
    <definedName name="solver_lhs34" localSheetId="0" hidden="1">Input!$S$4:$S$14</definedName>
    <definedName name="solver_lhs35" localSheetId="0" hidden="1">Input!$S$4</definedName>
    <definedName name="solver_lhs36" localSheetId="0" hidden="1">Input!$X$4:$X$14</definedName>
    <definedName name="solver_lhs37" localSheetId="0" hidden="1">Input!$C$4:$C$14</definedName>
    <definedName name="solver_lhs38" localSheetId="0" hidden="1">Input!$E$4:$E$14</definedName>
    <definedName name="solver_lhs39" localSheetId="0" hidden="1">Input!$X$4:$X$14</definedName>
    <definedName name="solver_lhs4" localSheetId="0" hidden="1">Input!$S$4:$S$14</definedName>
    <definedName name="solver_lhs4" localSheetId="15" hidden="1">LP!$S$4:$S$14</definedName>
    <definedName name="solver_lhs40" localSheetId="0" hidden="1">Input!$S$4:$S$14</definedName>
    <definedName name="solver_lhs41" localSheetId="0" hidden="1">Input!$S$4</definedName>
    <definedName name="solver_lhs42" localSheetId="0" hidden="1">Input!$X$4:$X$14</definedName>
    <definedName name="solver_lhs43" localSheetId="0" hidden="1">Input!$C$4:$C$14</definedName>
    <definedName name="solver_lhs44" localSheetId="0" hidden="1">Input!$E$4:$E$14</definedName>
    <definedName name="solver_lhs45" localSheetId="0" hidden="1">Input!$X$4:$X$14</definedName>
    <definedName name="solver_lhs46" localSheetId="0" hidden="1">Input!$S$4:$S$14</definedName>
    <definedName name="solver_lhs47" localSheetId="0" hidden="1">Input!$S$4</definedName>
    <definedName name="solver_lhs48" localSheetId="0" hidden="1">Input!$X$4:$X$14</definedName>
    <definedName name="solver_lhs49" localSheetId="0" hidden="1">Input!$C$4:$C$14</definedName>
    <definedName name="solver_lhs5" localSheetId="0" hidden="1">Input!$S$4</definedName>
    <definedName name="solver_lhs5" localSheetId="15" hidden="1">LP!$C$4:$C$14</definedName>
    <definedName name="solver_lhs50" localSheetId="0" hidden="1">Input!$E$4:$E$14</definedName>
    <definedName name="solver_lhs51" localSheetId="0" hidden="1">Input!$X$4:$X$14</definedName>
    <definedName name="solver_lhs52" localSheetId="0" hidden="1">Input!$S$4:$S$14</definedName>
    <definedName name="solver_lhs53" localSheetId="0" hidden="1">Input!$S$4</definedName>
    <definedName name="solver_lhs54" localSheetId="0" hidden="1">Input!$X$4:$X$14</definedName>
    <definedName name="solver_lhs55" localSheetId="0" hidden="1">Input!$C$4:$C$14</definedName>
    <definedName name="solver_lhs56" localSheetId="0" hidden="1">Input!$E$4:$E$14</definedName>
    <definedName name="solver_lhs57" localSheetId="0" hidden="1">Input!$X$4:$X$14</definedName>
    <definedName name="solver_lhs58" localSheetId="0" hidden="1">Input!$S$4:$S$14</definedName>
    <definedName name="solver_lhs59" localSheetId="0" hidden="1">Input!$S$4</definedName>
    <definedName name="solver_lhs6" localSheetId="0" hidden="1">Input!$P$4</definedName>
    <definedName name="solver_lhs6" localSheetId="15" hidden="1">LP!$E$4:$E$14</definedName>
    <definedName name="solver_lhs60" localSheetId="0" hidden="1">Input!$X$4:$X$14</definedName>
    <definedName name="solver_lhs61" localSheetId="0" hidden="1">Input!$C$4:$C$14</definedName>
    <definedName name="solver_lhs62" localSheetId="0" hidden="1">Input!$E$4:$E$14</definedName>
    <definedName name="solver_lhs63" localSheetId="0" hidden="1">Input!$X$4:$X$14</definedName>
    <definedName name="solver_lhs64" localSheetId="0" hidden="1">Input!$S$4:$S$14</definedName>
    <definedName name="solver_lhs65" localSheetId="0" hidden="1">Input!$S$4</definedName>
    <definedName name="solver_lhs66" localSheetId="0" hidden="1">Input!$X$4:$X$14</definedName>
    <definedName name="solver_lhs67" localSheetId="0" hidden="1">Input!$C$4:$C$14</definedName>
    <definedName name="solver_lhs68" localSheetId="0" hidden="1">Input!$E$4:$E$14</definedName>
    <definedName name="solver_lhs69" localSheetId="0" hidden="1">Input!$X$4:$X$14</definedName>
    <definedName name="solver_lhs7" localSheetId="0" hidden="1">Input!$C$4:$C$14</definedName>
    <definedName name="solver_lhs7" localSheetId="15" hidden="1">LP!$S$4</definedName>
    <definedName name="solver_lhs70" localSheetId="0" hidden="1">Input!$S$4:$S$14</definedName>
    <definedName name="solver_lhs71" localSheetId="0" hidden="1">Input!$S$4</definedName>
    <definedName name="solver_lhs72" localSheetId="0" hidden="1">Input!$X$4:$X$14</definedName>
    <definedName name="solver_lhs73" localSheetId="0" hidden="1">Input!$C$4:$C$14</definedName>
    <definedName name="solver_lhs74" localSheetId="0" hidden="1">Input!$E$4:$E$14</definedName>
    <definedName name="solver_lhs75" localSheetId="0" hidden="1">Input!$X$4:$X$14</definedName>
    <definedName name="solver_lhs76" localSheetId="0" hidden="1">Input!$S$4:$S$14</definedName>
    <definedName name="solver_lhs77" localSheetId="0" hidden="1">Input!$S$4</definedName>
    <definedName name="solver_lhs78" localSheetId="0" hidden="1">Input!$X$4:$X$14</definedName>
    <definedName name="solver_lhs79" localSheetId="0" hidden="1">Input!$C$4:$C$14</definedName>
    <definedName name="solver_lhs8" localSheetId="0" hidden="1">Input!$E$4:$E$14</definedName>
    <definedName name="solver_lhs8" localSheetId="15" hidden="1">LP!$P$4</definedName>
    <definedName name="solver_lhs80" localSheetId="0" hidden="1">Input!$E$4:$E$14</definedName>
    <definedName name="solver_lhs81" localSheetId="0" hidden="1">Input!$X$4:$X$14</definedName>
    <definedName name="solver_lhs82" localSheetId="0" hidden="1">Input!$S$4:$S$14</definedName>
    <definedName name="solver_lhs83" localSheetId="0" hidden="1">Input!$S$4</definedName>
    <definedName name="solver_lhs84" localSheetId="0" hidden="1">Input!$X$4:$X$14</definedName>
    <definedName name="solver_lhs85" localSheetId="0" hidden="1">Input!$C$4:$C$14</definedName>
    <definedName name="solver_lhs86" localSheetId="0" hidden="1">Input!$E$4:$E$14</definedName>
    <definedName name="solver_lhs87" localSheetId="0" hidden="1">Input!$X$4:$X$14</definedName>
    <definedName name="solver_lhs88" localSheetId="0" hidden="1">Input!$S$4:$S$14</definedName>
    <definedName name="solver_lhs89" localSheetId="0" hidden="1">Input!$S$4</definedName>
    <definedName name="solver_lhs9" localSheetId="0" hidden="1">Input!$X$4:$X$14</definedName>
    <definedName name="solver_lhs9" localSheetId="15" hidden="1">LP!$C$4:$C$14</definedName>
    <definedName name="solver_lhs90" localSheetId="0" hidden="1">Input!$X$4:$X$14</definedName>
    <definedName name="solver_lhs91" localSheetId="0" hidden="1">Input!$C$4:$C$14</definedName>
    <definedName name="solver_lhs92" localSheetId="0" hidden="1">Input!$E$4:$E$14</definedName>
    <definedName name="solver_lhs93" localSheetId="0" hidden="1">Input!$X$4:$X$14</definedName>
    <definedName name="solver_lhs94" localSheetId="0" hidden="1">Input!$S$4:$S$14</definedName>
    <definedName name="solver_lhs95" localSheetId="0" hidden="1">Input!$S$4</definedName>
    <definedName name="solver_lhs96" localSheetId="0" hidden="1">Input!$X$4:$X$14</definedName>
    <definedName name="solver_lhs97" localSheetId="0" hidden="1">Input!$C$4:$C$14</definedName>
    <definedName name="solver_lhs98" localSheetId="0" hidden="1">Input!$E$4:$E$14</definedName>
    <definedName name="solver_lhs99" localSheetId="0" hidden="1">Input!$X$4:$X$14</definedName>
    <definedName name="solver_mip" localSheetId="15" hidden="1">2147483647</definedName>
    <definedName name="solver_mni" localSheetId="15" hidden="1">30</definedName>
    <definedName name="solver_mrt" localSheetId="15" hidden="1">0.075</definedName>
    <definedName name="solver_msl" localSheetId="15" hidden="1">2</definedName>
    <definedName name="solver_neg" localSheetId="0" hidden="1">1</definedName>
    <definedName name="solver_neg" localSheetId="15" hidden="1">1</definedName>
    <definedName name="solver_neg" localSheetId="1" hidden="1">1</definedName>
    <definedName name="solver_nod" localSheetId="15" hidden="1">2147483647</definedName>
    <definedName name="solver_num" localSheetId="0" hidden="1">0</definedName>
    <definedName name="solver_num" localSheetId="15" hidden="1">8</definedName>
    <definedName name="solver_num" localSheetId="1" hidden="1">0</definedName>
    <definedName name="solver_nwt" localSheetId="15" hidden="1">1</definedName>
    <definedName name="solver_opt" localSheetId="15" hidden="1">LP!$Z$3</definedName>
    <definedName name="solver_pre" localSheetId="15" hidden="1">0.000001</definedName>
    <definedName name="solver_rbv" localSheetId="15" hidden="1">1</definedName>
    <definedName name="solver_rel1" localSheetId="0" hidden="1">3</definedName>
    <definedName name="solver_rel1" localSheetId="15" hidden="1">3</definedName>
    <definedName name="solver_rel10" localSheetId="0" hidden="1">3</definedName>
    <definedName name="solver_rel10" localSheetId="15" hidden="1">3</definedName>
    <definedName name="solver_rel100" localSheetId="0" hidden="1">3</definedName>
    <definedName name="solver_rel101" localSheetId="0" hidden="1">2</definedName>
    <definedName name="solver_rel102" localSheetId="0" hidden="1">3</definedName>
    <definedName name="solver_rel103" localSheetId="0" hidden="1">3</definedName>
    <definedName name="solver_rel104" localSheetId="0" hidden="1">3</definedName>
    <definedName name="solver_rel105" localSheetId="0" hidden="1">3</definedName>
    <definedName name="solver_rel106" localSheetId="0" hidden="1">3</definedName>
    <definedName name="solver_rel107" localSheetId="0" hidden="1">2</definedName>
    <definedName name="solver_rel108" localSheetId="0" hidden="1">3</definedName>
    <definedName name="solver_rel109" localSheetId="0" hidden="1">3</definedName>
    <definedName name="solver_rel11" localSheetId="0" hidden="1">2</definedName>
    <definedName name="solver_rel11" localSheetId="15" hidden="1">3</definedName>
    <definedName name="solver_rel110" localSheetId="0" hidden="1">3</definedName>
    <definedName name="solver_rel111" localSheetId="0" hidden="1">3</definedName>
    <definedName name="solver_rel112" localSheetId="0" hidden="1">3</definedName>
    <definedName name="solver_rel113" localSheetId="0" hidden="1">2</definedName>
    <definedName name="solver_rel114" localSheetId="0" hidden="1">3</definedName>
    <definedName name="solver_rel115" localSheetId="0" hidden="1">3</definedName>
    <definedName name="solver_rel116" localSheetId="0" hidden="1">3</definedName>
    <definedName name="solver_rel117" localSheetId="0" hidden="1">3</definedName>
    <definedName name="solver_rel118" localSheetId="0" hidden="1">3</definedName>
    <definedName name="solver_rel119" localSheetId="0" hidden="1">2</definedName>
    <definedName name="solver_rel12" localSheetId="0" hidden="1">3</definedName>
    <definedName name="solver_rel12" localSheetId="15" hidden="1">3</definedName>
    <definedName name="solver_rel120" localSheetId="0" hidden="1">3</definedName>
    <definedName name="solver_rel121" localSheetId="0" hidden="1">3</definedName>
    <definedName name="solver_rel122" localSheetId="0" hidden="1">3</definedName>
    <definedName name="solver_rel123" localSheetId="0" hidden="1">3</definedName>
    <definedName name="solver_rel124" localSheetId="0" hidden="1">3</definedName>
    <definedName name="solver_rel125" localSheetId="0" hidden="1">2</definedName>
    <definedName name="solver_rel126" localSheetId="0" hidden="1">3</definedName>
    <definedName name="solver_rel127" localSheetId="0" hidden="1">3</definedName>
    <definedName name="solver_rel128" localSheetId="0" hidden="1">3</definedName>
    <definedName name="solver_rel129" localSheetId="0" hidden="1">3</definedName>
    <definedName name="solver_rel13" localSheetId="0" hidden="1">3</definedName>
    <definedName name="solver_rel13" localSheetId="15" hidden="1">4</definedName>
    <definedName name="solver_rel130" localSheetId="0" hidden="1">3</definedName>
    <definedName name="solver_rel131" localSheetId="0" hidden="1">2</definedName>
    <definedName name="solver_rel132" localSheetId="0" hidden="1">3</definedName>
    <definedName name="solver_rel133" localSheetId="0" hidden="1">3</definedName>
    <definedName name="solver_rel134" localSheetId="0" hidden="1">3</definedName>
    <definedName name="solver_rel135" localSheetId="0" hidden="1">3</definedName>
    <definedName name="solver_rel136" localSheetId="0" hidden="1">3</definedName>
    <definedName name="solver_rel137" localSheetId="0" hidden="1">2</definedName>
    <definedName name="solver_rel138" localSheetId="0" hidden="1">3</definedName>
    <definedName name="solver_rel14" localSheetId="0" hidden="1">3</definedName>
    <definedName name="solver_rel14" localSheetId="15" hidden="1">4</definedName>
    <definedName name="solver_rel15" localSheetId="0" hidden="1">3</definedName>
    <definedName name="solver_rel15" localSheetId="15" hidden="1">2</definedName>
    <definedName name="solver_rel16" localSheetId="0" hidden="1">3</definedName>
    <definedName name="solver_rel16" localSheetId="15" hidden="1">2</definedName>
    <definedName name="solver_rel17" localSheetId="0" hidden="1">2</definedName>
    <definedName name="solver_rel17" localSheetId="15" hidden="1">3</definedName>
    <definedName name="solver_rel18" localSheetId="0" hidden="1">3</definedName>
    <definedName name="solver_rel18" localSheetId="15" hidden="1">4</definedName>
    <definedName name="solver_rel19" localSheetId="0" hidden="1">3</definedName>
    <definedName name="solver_rel19" localSheetId="15" hidden="1">4</definedName>
    <definedName name="solver_rel2" localSheetId="0" hidden="1">3</definedName>
    <definedName name="solver_rel2" localSheetId="15" hidden="1">3</definedName>
    <definedName name="solver_rel20" localSheetId="0" hidden="1">3</definedName>
    <definedName name="solver_rel20" localSheetId="15" hidden="1">3</definedName>
    <definedName name="solver_rel21" localSheetId="0" hidden="1">3</definedName>
    <definedName name="solver_rel21" localSheetId="15" hidden="1">3</definedName>
    <definedName name="solver_rel22" localSheetId="0" hidden="1">3</definedName>
    <definedName name="solver_rel22" localSheetId="15" hidden="1">2</definedName>
    <definedName name="solver_rel23" localSheetId="0" hidden="1">2</definedName>
    <definedName name="solver_rel23" localSheetId="15" hidden="1">2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3</definedName>
    <definedName name="solver_rel29" localSheetId="0" hidden="1">2</definedName>
    <definedName name="solver_rel3" localSheetId="0" hidden="1">3</definedName>
    <definedName name="solver_rel3" localSheetId="15" hidden="1">3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33" localSheetId="0" hidden="1">3</definedName>
    <definedName name="solver_rel34" localSheetId="0" hidden="1">3</definedName>
    <definedName name="solver_rel35" localSheetId="0" hidden="1">2</definedName>
    <definedName name="solver_rel36" localSheetId="0" hidden="1">3</definedName>
    <definedName name="solver_rel37" localSheetId="0" hidden="1">3</definedName>
    <definedName name="solver_rel38" localSheetId="0" hidden="1">3</definedName>
    <definedName name="solver_rel39" localSheetId="0" hidden="1">3</definedName>
    <definedName name="solver_rel4" localSheetId="0" hidden="1">3</definedName>
    <definedName name="solver_rel4" localSheetId="15" hidden="1">3</definedName>
    <definedName name="solver_rel40" localSheetId="0" hidden="1">3</definedName>
    <definedName name="solver_rel41" localSheetId="0" hidden="1">2</definedName>
    <definedName name="solver_rel42" localSheetId="0" hidden="1">3</definedName>
    <definedName name="solver_rel43" localSheetId="0" hidden="1">3</definedName>
    <definedName name="solver_rel44" localSheetId="0" hidden="1">3</definedName>
    <definedName name="solver_rel45" localSheetId="0" hidden="1">3</definedName>
    <definedName name="solver_rel46" localSheetId="0" hidden="1">3</definedName>
    <definedName name="solver_rel47" localSheetId="0" hidden="1">2</definedName>
    <definedName name="solver_rel48" localSheetId="0" hidden="1">3</definedName>
    <definedName name="solver_rel49" localSheetId="0" hidden="1">3</definedName>
    <definedName name="solver_rel5" localSheetId="0" hidden="1">2</definedName>
    <definedName name="solver_rel5" localSheetId="15" hidden="1">4</definedName>
    <definedName name="solver_rel50" localSheetId="0" hidden="1">3</definedName>
    <definedName name="solver_rel51" localSheetId="0" hidden="1">3</definedName>
    <definedName name="solver_rel52" localSheetId="0" hidden="1">3</definedName>
    <definedName name="solver_rel53" localSheetId="0" hidden="1">2</definedName>
    <definedName name="solver_rel54" localSheetId="0" hidden="1">3</definedName>
    <definedName name="solver_rel55" localSheetId="0" hidden="1">3</definedName>
    <definedName name="solver_rel56" localSheetId="0" hidden="1">3</definedName>
    <definedName name="solver_rel57" localSheetId="0" hidden="1">3</definedName>
    <definedName name="solver_rel58" localSheetId="0" hidden="1">3</definedName>
    <definedName name="solver_rel59" localSheetId="0" hidden="1">2</definedName>
    <definedName name="solver_rel6" localSheetId="0" hidden="1">2</definedName>
    <definedName name="solver_rel6" localSheetId="15" hidden="1">4</definedName>
    <definedName name="solver_rel60" localSheetId="0" hidden="1">3</definedName>
    <definedName name="solver_rel61" localSheetId="0" hidden="1">3</definedName>
    <definedName name="solver_rel62" localSheetId="0" hidden="1">3</definedName>
    <definedName name="solver_rel63" localSheetId="0" hidden="1">3</definedName>
    <definedName name="solver_rel64" localSheetId="0" hidden="1">3</definedName>
    <definedName name="solver_rel65" localSheetId="0" hidden="1">2</definedName>
    <definedName name="solver_rel66" localSheetId="0" hidden="1">3</definedName>
    <definedName name="solver_rel67" localSheetId="0" hidden="1">3</definedName>
    <definedName name="solver_rel68" localSheetId="0" hidden="1">3</definedName>
    <definedName name="solver_rel69" localSheetId="0" hidden="1">3</definedName>
    <definedName name="solver_rel7" localSheetId="0" hidden="1">3</definedName>
    <definedName name="solver_rel7" localSheetId="15" hidden="1">2</definedName>
    <definedName name="solver_rel70" localSheetId="0" hidden="1">3</definedName>
    <definedName name="solver_rel71" localSheetId="0" hidden="1">2</definedName>
    <definedName name="solver_rel72" localSheetId="0" hidden="1">3</definedName>
    <definedName name="solver_rel73" localSheetId="0" hidden="1">3</definedName>
    <definedName name="solver_rel74" localSheetId="0" hidden="1">3</definedName>
    <definedName name="solver_rel75" localSheetId="0" hidden="1">3</definedName>
    <definedName name="solver_rel76" localSheetId="0" hidden="1">3</definedName>
    <definedName name="solver_rel77" localSheetId="0" hidden="1">2</definedName>
    <definedName name="solver_rel78" localSheetId="0" hidden="1">3</definedName>
    <definedName name="solver_rel79" localSheetId="0" hidden="1">3</definedName>
    <definedName name="solver_rel8" localSheetId="0" hidden="1">3</definedName>
    <definedName name="solver_rel8" localSheetId="15" hidden="1">2</definedName>
    <definedName name="solver_rel80" localSheetId="0" hidden="1">3</definedName>
    <definedName name="solver_rel81" localSheetId="0" hidden="1">3</definedName>
    <definedName name="solver_rel82" localSheetId="0" hidden="1">3</definedName>
    <definedName name="solver_rel83" localSheetId="0" hidden="1">2</definedName>
    <definedName name="solver_rel84" localSheetId="0" hidden="1">3</definedName>
    <definedName name="solver_rel85" localSheetId="0" hidden="1">3</definedName>
    <definedName name="solver_rel86" localSheetId="0" hidden="1">3</definedName>
    <definedName name="solver_rel87" localSheetId="0" hidden="1">3</definedName>
    <definedName name="solver_rel88" localSheetId="0" hidden="1">3</definedName>
    <definedName name="solver_rel89" localSheetId="0" hidden="1">2</definedName>
    <definedName name="solver_rel9" localSheetId="0" hidden="1">3</definedName>
    <definedName name="solver_rel9" localSheetId="15" hidden="1">3</definedName>
    <definedName name="solver_rel90" localSheetId="0" hidden="1">3</definedName>
    <definedName name="solver_rel91" localSheetId="0" hidden="1">3</definedName>
    <definedName name="solver_rel92" localSheetId="0" hidden="1">3</definedName>
    <definedName name="solver_rel93" localSheetId="0" hidden="1">3</definedName>
    <definedName name="solver_rel94" localSheetId="0" hidden="1">3</definedName>
    <definedName name="solver_rel95" localSheetId="0" hidden="1">2</definedName>
    <definedName name="solver_rel96" localSheetId="0" hidden="1">3</definedName>
    <definedName name="solver_rel97" localSheetId="0" hidden="1">3</definedName>
    <definedName name="solver_rel98" localSheetId="0" hidden="1">3</definedName>
    <definedName name="solver_rel99" localSheetId="0" hidden="1">3</definedName>
    <definedName name="solver_rhs1" localSheetId="0" hidden="1">LP_Positive</definedName>
    <definedName name="solver_rhs1" localSheetId="15" hidden="1">LP_Positive</definedName>
    <definedName name="solver_rhs10" localSheetId="0" hidden="1">LP_Positive</definedName>
    <definedName name="solver_rhs10" localSheetId="15" hidden="1">LP_Positive</definedName>
    <definedName name="solver_rhs100" localSheetId="0" hidden="1">LP_Positive</definedName>
    <definedName name="solver_rhs101" localSheetId="0" hidden="1">0</definedName>
    <definedName name="solver_rhs102" localSheetId="0" hidden="1">LP_Positive</definedName>
    <definedName name="solver_rhs103" localSheetId="0" hidden="1">LP_Positive</definedName>
    <definedName name="solver_rhs104" localSheetId="0" hidden="1">LP_Positive</definedName>
    <definedName name="solver_rhs105" localSheetId="0" hidden="1">LP_Positive</definedName>
    <definedName name="solver_rhs106" localSheetId="0" hidden="1">LP_Positive</definedName>
    <definedName name="solver_rhs107" localSheetId="0" hidden="1">0</definedName>
    <definedName name="solver_rhs108" localSheetId="0" hidden="1">LP_Positive</definedName>
    <definedName name="solver_rhs109" localSheetId="0" hidden="1">LP_Positive</definedName>
    <definedName name="solver_rhs11" localSheetId="0" hidden="1">0</definedName>
    <definedName name="solver_rhs11" localSheetId="15" hidden="1">LP_Positive</definedName>
    <definedName name="solver_rhs110" localSheetId="0" hidden="1">LP_Positive</definedName>
    <definedName name="solver_rhs111" localSheetId="0" hidden="1">LP_Positive</definedName>
    <definedName name="solver_rhs112" localSheetId="0" hidden="1">LP_Positive</definedName>
    <definedName name="solver_rhs113" localSheetId="0" hidden="1">0</definedName>
    <definedName name="solver_rhs114" localSheetId="0" hidden="1">LP_Positive</definedName>
    <definedName name="solver_rhs115" localSheetId="0" hidden="1">LP_Positive</definedName>
    <definedName name="solver_rhs116" localSheetId="0" hidden="1">LP_Positive</definedName>
    <definedName name="solver_rhs117" localSheetId="0" hidden="1">LP_Positive</definedName>
    <definedName name="solver_rhs118" localSheetId="0" hidden="1">LP_Positive</definedName>
    <definedName name="solver_rhs119" localSheetId="0" hidden="1">0</definedName>
    <definedName name="solver_rhs12" localSheetId="0" hidden="1">0</definedName>
    <definedName name="solver_rhs12" localSheetId="15" hidden="1">LP_Positive</definedName>
    <definedName name="solver_rhs120" localSheetId="0" hidden="1">LP_Positive</definedName>
    <definedName name="solver_rhs121" localSheetId="0" hidden="1">LP_Positive</definedName>
    <definedName name="solver_rhs122" localSheetId="0" hidden="1">LP_Positive</definedName>
    <definedName name="solver_rhs123" localSheetId="0" hidden="1">LP_Positive</definedName>
    <definedName name="solver_rhs124" localSheetId="0" hidden="1">LP_Positive</definedName>
    <definedName name="solver_rhs125" localSheetId="0" hidden="1">0</definedName>
    <definedName name="solver_rhs126" localSheetId="0" hidden="1">LP_Positive</definedName>
    <definedName name="solver_rhs127" localSheetId="0" hidden="1">LP_Positive</definedName>
    <definedName name="solver_rhs128" localSheetId="0" hidden="1">LP_Positive</definedName>
    <definedName name="solver_rhs129" localSheetId="0" hidden="1">LP_Positive</definedName>
    <definedName name="solver_rhs13" localSheetId="0" hidden="1">LP_Positive</definedName>
    <definedName name="solver_rhs13" localSheetId="15" hidden="1">"integer"</definedName>
    <definedName name="solver_rhs130" localSheetId="0" hidden="1">LP_Positive</definedName>
    <definedName name="solver_rhs131" localSheetId="0" hidden="1">0</definedName>
    <definedName name="solver_rhs132" localSheetId="0" hidden="1">LP_Positive</definedName>
    <definedName name="solver_rhs133" localSheetId="0" hidden="1">LP_Positive</definedName>
    <definedName name="solver_rhs134" localSheetId="0" hidden="1">LP_Positive</definedName>
    <definedName name="solver_rhs135" localSheetId="0" hidden="1">LP_Positive</definedName>
    <definedName name="solver_rhs136" localSheetId="0" hidden="1">LP_Positive</definedName>
    <definedName name="solver_rhs137" localSheetId="0" hidden="1">0</definedName>
    <definedName name="solver_rhs138" localSheetId="0" hidden="1">LP_Positive</definedName>
    <definedName name="solver_rhs14" localSheetId="0" hidden="1">LP_Positive</definedName>
    <definedName name="solver_rhs14" localSheetId="15" hidden="1">"integer"</definedName>
    <definedName name="solver_rhs15" localSheetId="0" hidden="1">LP_Positive</definedName>
    <definedName name="solver_rhs15" localSheetId="15" hidden="1">0</definedName>
    <definedName name="solver_rhs16" localSheetId="0" hidden="1">LP_Positive</definedName>
    <definedName name="solver_rhs16" localSheetId="15" hidden="1">0</definedName>
    <definedName name="solver_rhs17" localSheetId="0" hidden="1">0</definedName>
    <definedName name="solver_rhs17" localSheetId="15" hidden="1">LP_Positive</definedName>
    <definedName name="solver_rhs18" localSheetId="0" hidden="1">0</definedName>
    <definedName name="solver_rhs18" localSheetId="15" hidden="1">"integer"</definedName>
    <definedName name="solver_rhs19" localSheetId="0" hidden="1">LP_Positive</definedName>
    <definedName name="solver_rhs19" localSheetId="15" hidden="1">"integer"</definedName>
    <definedName name="solver_rhs2" localSheetId="0" hidden="1">LP_Positive</definedName>
    <definedName name="solver_rhs2" localSheetId="15" hidden="1">LP_Positive</definedName>
    <definedName name="solver_rhs20" localSheetId="0" hidden="1">LP_Positive</definedName>
    <definedName name="solver_rhs20" localSheetId="15" hidden="1">LP_Positive</definedName>
    <definedName name="solver_rhs21" localSheetId="0" hidden="1">LP_Positive</definedName>
    <definedName name="solver_rhs21" localSheetId="15" hidden="1">LP_Positive</definedName>
    <definedName name="solver_rhs22" localSheetId="0" hidden="1">LP_Positive</definedName>
    <definedName name="solver_rhs22" localSheetId="15" hidden="1">0</definedName>
    <definedName name="solver_rhs23" localSheetId="0" hidden="1">0</definedName>
    <definedName name="solver_rhs23" localSheetId="15" hidden="1">0</definedName>
    <definedName name="solver_rhs24" localSheetId="0" hidden="1">0</definedName>
    <definedName name="solver_rhs25" localSheetId="0" hidden="1">LP_Positive</definedName>
    <definedName name="solver_rhs26" localSheetId="0" hidden="1">LP_Positive</definedName>
    <definedName name="solver_rhs27" localSheetId="0" hidden="1">LP_Positive</definedName>
    <definedName name="solver_rhs28" localSheetId="0" hidden="1">LP_Positive</definedName>
    <definedName name="solver_rhs29" localSheetId="0" hidden="1">0</definedName>
    <definedName name="solver_rhs3" localSheetId="0" hidden="1">LP_Positive</definedName>
    <definedName name="solver_rhs3" localSheetId="15" hidden="1">LP_Positive</definedName>
    <definedName name="solver_rhs30" localSheetId="0" hidden="1">0</definedName>
    <definedName name="solver_rhs31" localSheetId="0" hidden="1">LP_Positive</definedName>
    <definedName name="solver_rhs32" localSheetId="0" hidden="1">LP_Positive</definedName>
    <definedName name="solver_rhs33" localSheetId="0" hidden="1">LP_Positive</definedName>
    <definedName name="solver_rhs34" localSheetId="0" hidden="1">LP_Positive</definedName>
    <definedName name="solver_rhs35" localSheetId="0" hidden="1">0</definedName>
    <definedName name="solver_rhs36" localSheetId="0" hidden="1">0</definedName>
    <definedName name="solver_rhs37" localSheetId="0" hidden="1">LP_Positive</definedName>
    <definedName name="solver_rhs38" localSheetId="0" hidden="1">LP_Positive</definedName>
    <definedName name="solver_rhs39" localSheetId="0" hidden="1">LP_Positive</definedName>
    <definedName name="solver_rhs4" localSheetId="0" hidden="1">LP_Positive</definedName>
    <definedName name="solver_rhs4" localSheetId="15" hidden="1">LP_Positive</definedName>
    <definedName name="solver_rhs40" localSheetId="0" hidden="1">LP_Positive</definedName>
    <definedName name="solver_rhs41" localSheetId="0" hidden="1">0</definedName>
    <definedName name="solver_rhs42" localSheetId="0" hidden="1">0</definedName>
    <definedName name="solver_rhs43" localSheetId="0" hidden="1">LP_Positive</definedName>
    <definedName name="solver_rhs44" localSheetId="0" hidden="1">LP_Positive</definedName>
    <definedName name="solver_rhs45" localSheetId="0" hidden="1">LP_Positive</definedName>
    <definedName name="solver_rhs46" localSheetId="0" hidden="1">LP_Positive</definedName>
    <definedName name="solver_rhs47" localSheetId="0" hidden="1">0</definedName>
    <definedName name="solver_rhs48" localSheetId="0" hidden="1">0</definedName>
    <definedName name="solver_rhs49" localSheetId="0" hidden="1">LP_Positive</definedName>
    <definedName name="solver_rhs5" localSheetId="0" hidden="1">0</definedName>
    <definedName name="solver_rhs5" localSheetId="15" hidden="1">"integer"</definedName>
    <definedName name="solver_rhs50" localSheetId="0" hidden="1">LP_Positive</definedName>
    <definedName name="solver_rhs51" localSheetId="0" hidden="1">LP_Positive</definedName>
    <definedName name="solver_rhs52" localSheetId="0" hidden="1">LP_Positive</definedName>
    <definedName name="solver_rhs53" localSheetId="0" hidden="1">0</definedName>
    <definedName name="solver_rhs54" localSheetId="0" hidden="1">0</definedName>
    <definedName name="solver_rhs55" localSheetId="0" hidden="1">LP_Positive</definedName>
    <definedName name="solver_rhs56" localSheetId="0" hidden="1">LP_Positive</definedName>
    <definedName name="solver_rhs57" localSheetId="0" hidden="1">LP_Positive</definedName>
    <definedName name="solver_rhs58" localSheetId="0" hidden="1">LP_Positive</definedName>
    <definedName name="solver_rhs59" localSheetId="0" hidden="1">0</definedName>
    <definedName name="solver_rhs6" localSheetId="0" hidden="1">0</definedName>
    <definedName name="solver_rhs6" localSheetId="15" hidden="1">"integer"</definedName>
    <definedName name="solver_rhs60" localSheetId="0" hidden="1">0</definedName>
    <definedName name="solver_rhs61" localSheetId="0" hidden="1">LP_Positive</definedName>
    <definedName name="solver_rhs62" localSheetId="0" hidden="1">LP_Positive</definedName>
    <definedName name="solver_rhs63" localSheetId="0" hidden="1">LP_Positive</definedName>
    <definedName name="solver_rhs64" localSheetId="0" hidden="1">LP_Positive</definedName>
    <definedName name="solver_rhs65" localSheetId="0" hidden="1">0</definedName>
    <definedName name="solver_rhs66" localSheetId="0" hidden="1">0</definedName>
    <definedName name="solver_rhs67" localSheetId="0" hidden="1">LP_Positive</definedName>
    <definedName name="solver_rhs68" localSheetId="0" hidden="1">LP_Positive</definedName>
    <definedName name="solver_rhs69" localSheetId="0" hidden="1">LP_Positive</definedName>
    <definedName name="solver_rhs7" localSheetId="0" hidden="1">LP_Positive</definedName>
    <definedName name="solver_rhs7" localSheetId="15" hidden="1">0</definedName>
    <definedName name="solver_rhs70" localSheetId="0" hidden="1">LP_Positive</definedName>
    <definedName name="solver_rhs71" localSheetId="0" hidden="1">0</definedName>
    <definedName name="solver_rhs72" localSheetId="0" hidden="1">0</definedName>
    <definedName name="solver_rhs73" localSheetId="0" hidden="1">LP_Positive</definedName>
    <definedName name="solver_rhs74" localSheetId="0" hidden="1">LP_Positive</definedName>
    <definedName name="solver_rhs75" localSheetId="0" hidden="1">LP_Positive</definedName>
    <definedName name="solver_rhs76" localSheetId="0" hidden="1">LP_Positive</definedName>
    <definedName name="solver_rhs77" localSheetId="0" hidden="1">0</definedName>
    <definedName name="solver_rhs78" localSheetId="0" hidden="1">0</definedName>
    <definedName name="solver_rhs79" localSheetId="0" hidden="1">LP_Positive</definedName>
    <definedName name="solver_rhs8" localSheetId="0" hidden="1">LP_Positive</definedName>
    <definedName name="solver_rhs8" localSheetId="15" hidden="1">0</definedName>
    <definedName name="solver_rhs80" localSheetId="0" hidden="1">LP_Positive</definedName>
    <definedName name="solver_rhs81" localSheetId="0" hidden="1">LP_Positive</definedName>
    <definedName name="solver_rhs82" localSheetId="0" hidden="1">LP_Positive</definedName>
    <definedName name="solver_rhs83" localSheetId="0" hidden="1">0</definedName>
    <definedName name="solver_rhs84" localSheetId="0" hidden="1">0</definedName>
    <definedName name="solver_rhs85" localSheetId="0" hidden="1">LP_Positive</definedName>
    <definedName name="solver_rhs86" localSheetId="0" hidden="1">LP_Positive</definedName>
    <definedName name="solver_rhs87" localSheetId="0" hidden="1">LP_Positive</definedName>
    <definedName name="solver_rhs88" localSheetId="0" hidden="1">LP_Positive</definedName>
    <definedName name="solver_rhs89" localSheetId="0" hidden="1">0</definedName>
    <definedName name="solver_rhs9" localSheetId="0" hidden="1">LP_Positive</definedName>
    <definedName name="solver_rhs9" localSheetId="15" hidden="1">LP_Positive</definedName>
    <definedName name="solver_rhs90" localSheetId="0" hidden="1">0</definedName>
    <definedName name="solver_rhs91" localSheetId="0" hidden="1">LP_Positive</definedName>
    <definedName name="solver_rhs92" localSheetId="0" hidden="1">LP_Positive</definedName>
    <definedName name="solver_rhs93" localSheetId="0" hidden="1">LP_Positive</definedName>
    <definedName name="solver_rhs94" localSheetId="0" hidden="1">LP_Positive</definedName>
    <definedName name="solver_rhs95" localSheetId="0" hidden="1">0</definedName>
    <definedName name="solver_rhs96" localSheetId="0" hidden="1">0</definedName>
    <definedName name="solver_rhs97" localSheetId="0" hidden="1">LP_Positive</definedName>
    <definedName name="solver_rhs98" localSheetId="0" hidden="1">LP_Positive</definedName>
    <definedName name="solver_rhs99" localSheetId="0" hidden="1">LP_Positive</definedName>
    <definedName name="solver_rlx" localSheetId="15" hidden="1">2</definedName>
    <definedName name="solver_rsd" localSheetId="15" hidden="1">0</definedName>
    <definedName name="solver_scl" localSheetId="15" hidden="1">2</definedName>
    <definedName name="solver_sho" localSheetId="15" hidden="1">2</definedName>
    <definedName name="solver_ssz" localSheetId="15" hidden="1">0</definedName>
    <definedName name="solver_tim" localSheetId="15" hidden="1">2147483647</definedName>
    <definedName name="solver_tol" localSheetId="15" hidden="1">0.01</definedName>
    <definedName name="solver_typ" localSheetId="0" hidden="1">1</definedName>
    <definedName name="solver_typ" localSheetId="15" hidden="1">2</definedName>
    <definedName name="solver_typ" localSheetId="1" hidden="1">2</definedName>
    <definedName name="solver_val" localSheetId="0" hidden="1">0</definedName>
    <definedName name="solver_val" localSheetId="15" hidden="1">0</definedName>
    <definedName name="solver_val" localSheetId="1" hidden="1">0</definedName>
    <definedName name="solver_ver" localSheetId="0" hidden="1">3</definedName>
    <definedName name="solver_ver" localSheetId="15" hidden="1">3</definedName>
    <definedName name="solver_ver" localSheetId="1" hidden="1">3</definedName>
    <definedName name="WW_h">WW!$B$3</definedName>
    <definedName name="WW_k">WW!$A$3</definedName>
    <definedName name="WW_mincost">WW!$B$9:$L$9</definedName>
    <definedName name="WW_pre">WW!$B$10:$L$10</definedName>
    <definedName name="WW_Q">WW!$B$8:$L$8</definedName>
    <definedName name="WW_V">WW!$B$7:$L$7</definedName>
    <definedName name="X_A">Input!$B$18:$K$18</definedName>
    <definedName name="X_B">Input!$B$19:$K$19</definedName>
    <definedName name="X_C">Input!$B$20:$K$20</definedName>
    <definedName name="X_D">Input!$B$21:$K$21</definedName>
    <definedName name="X_E">Input!$B$22:$K$22</definedName>
    <definedName name="X_F">Input!$B$23:$K$23</definedName>
    <definedName name="X_G">Input!$B$24:$K$24</definedName>
    <definedName name="X_H">Input!$B$25:$K$25</definedName>
    <definedName name="X_I">Input!$B$26:$K$26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X14" i="25" l="1"/>
  <c r="AJ9" i="25" s="1"/>
  <c r="AJ6" i="25"/>
  <c r="AI6" i="25"/>
  <c r="AH6" i="25"/>
  <c r="AG6" i="25"/>
  <c r="AF6" i="25"/>
  <c r="AE6" i="25"/>
  <c r="AD6" i="25"/>
  <c r="AC6" i="25"/>
  <c r="AB6" i="25"/>
  <c r="AA6" i="25"/>
  <c r="G4" i="25"/>
  <c r="I4" i="25"/>
  <c r="T4" i="25"/>
  <c r="U4" i="25"/>
  <c r="W4" i="25"/>
  <c r="X4" i="25"/>
  <c r="G5" i="25"/>
  <c r="I5" i="25"/>
  <c r="T5" i="25"/>
  <c r="AA7" i="25" s="1"/>
  <c r="U5" i="25"/>
  <c r="AA8" i="25" s="1"/>
  <c r="X5" i="25"/>
  <c r="S5" i="25" s="1"/>
  <c r="G6" i="25"/>
  <c r="I6" i="25"/>
  <c r="T6" i="25"/>
  <c r="AB7" i="25" s="1"/>
  <c r="U6" i="25"/>
  <c r="AB8" i="25" s="1"/>
  <c r="X6" i="25"/>
  <c r="AB9" i="25" s="1"/>
  <c r="G7" i="25"/>
  <c r="I7" i="25"/>
  <c r="T7" i="25"/>
  <c r="AC7" i="25" s="1"/>
  <c r="U7" i="25"/>
  <c r="AC8" i="25" s="1"/>
  <c r="X7" i="25"/>
  <c r="AC9" i="25" s="1"/>
  <c r="G8" i="25"/>
  <c r="I8" i="25"/>
  <c r="T8" i="25"/>
  <c r="AD7" i="25" s="1"/>
  <c r="U8" i="25"/>
  <c r="AD8" i="25" s="1"/>
  <c r="X8" i="25"/>
  <c r="AD9" i="25" s="1"/>
  <c r="G9" i="25"/>
  <c r="I9" i="25"/>
  <c r="T9" i="25"/>
  <c r="AE7" i="25" s="1"/>
  <c r="U9" i="25"/>
  <c r="AE8" i="25" s="1"/>
  <c r="X9" i="25"/>
  <c r="AE9" i="25" s="1"/>
  <c r="G10" i="25"/>
  <c r="I10" i="25"/>
  <c r="T10" i="25"/>
  <c r="AF7" i="25" s="1"/>
  <c r="U10" i="25"/>
  <c r="AF8" i="25" s="1"/>
  <c r="X10" i="25"/>
  <c r="AF9" i="25" s="1"/>
  <c r="G11" i="25"/>
  <c r="I11" i="25"/>
  <c r="T11" i="25"/>
  <c r="AG7" i="25" s="1"/>
  <c r="U11" i="25"/>
  <c r="AG8" i="25" s="1"/>
  <c r="X11" i="25"/>
  <c r="AG9" i="25" s="1"/>
  <c r="G12" i="25"/>
  <c r="I12" i="25"/>
  <c r="N12" i="25"/>
  <c r="T12" i="25"/>
  <c r="AH7" i="25" s="1"/>
  <c r="U12" i="25"/>
  <c r="AH8" i="25" s="1"/>
  <c r="X12" i="25"/>
  <c r="AH9" i="25" s="1"/>
  <c r="G13" i="25"/>
  <c r="I13" i="25"/>
  <c r="T13" i="25"/>
  <c r="AI7" i="25" s="1"/>
  <c r="U13" i="25"/>
  <c r="AI8" i="25" s="1"/>
  <c r="X13" i="25"/>
  <c r="AI9" i="25" s="1"/>
  <c r="G14" i="25"/>
  <c r="I14" i="25"/>
  <c r="T14" i="25"/>
  <c r="AJ7" i="25" s="1"/>
  <c r="U14" i="25"/>
  <c r="AJ8" i="25" s="1"/>
  <c r="C22" i="25"/>
  <c r="K11" i="25" l="1"/>
  <c r="K9" i="25"/>
  <c r="V9" i="25" s="1"/>
  <c r="K5" i="25"/>
  <c r="K7" i="25"/>
  <c r="K10" i="25"/>
  <c r="K6" i="25"/>
  <c r="AA9" i="25"/>
  <c r="K12" i="25"/>
  <c r="V12" i="25" s="1"/>
  <c r="K14" i="25"/>
  <c r="U2" i="25"/>
  <c r="T2" i="25"/>
  <c r="X2" i="25"/>
  <c r="S6" i="25"/>
  <c r="C23" i="25"/>
  <c r="W5" i="25"/>
  <c r="K4" i="25"/>
  <c r="K8" i="25"/>
  <c r="K13" i="25"/>
  <c r="V4" i="25" l="1"/>
  <c r="V11" i="25"/>
  <c r="V6" i="25"/>
  <c r="V10" i="25"/>
  <c r="V5" i="25"/>
  <c r="V14" i="25"/>
  <c r="V7" i="25"/>
  <c r="V13" i="25"/>
  <c r="V8" i="25"/>
  <c r="S7" i="25"/>
  <c r="W6" i="25"/>
  <c r="C24" i="25"/>
  <c r="V2" i="25" l="1"/>
  <c r="W7" i="25"/>
  <c r="S8" i="25"/>
  <c r="C25" i="25"/>
  <c r="W8" i="25" l="1"/>
  <c r="S9" i="25"/>
  <c r="C26" i="25"/>
  <c r="S10" i="25" l="1"/>
  <c r="C27" i="25"/>
  <c r="W9" i="25"/>
  <c r="S11" i="25" l="1"/>
  <c r="W10" i="25"/>
  <c r="C28" i="25"/>
  <c r="W11" i="25" l="1"/>
  <c r="C29" i="25"/>
  <c r="S12" i="25"/>
  <c r="S13" i="25" l="1"/>
  <c r="W12" i="25"/>
  <c r="C30" i="25"/>
  <c r="S14" i="25" l="1"/>
  <c r="W13" i="25"/>
  <c r="C31" i="25"/>
  <c r="C32" i="25" l="1"/>
  <c r="W14" i="25"/>
  <c r="W2" i="25" s="1"/>
  <c r="Z3" i="25" s="1"/>
  <c r="S2" i="25"/>
</calcChain>
</file>

<file path=xl/sharedStrings.xml><?xml version="1.0" encoding="utf-8"?>
<sst xmlns="http://schemas.openxmlformats.org/spreadsheetml/2006/main" count="462" uniqueCount="203">
  <si>
    <t>Assembly item data</t>
  </si>
  <si>
    <t>ID</t>
  </si>
  <si>
    <t>LotSize</t>
  </si>
  <si>
    <t>L.T.</t>
  </si>
  <si>
    <t>S.S</t>
  </si>
  <si>
    <t>OH</t>
  </si>
  <si>
    <t>h</t>
  </si>
  <si>
    <t>A</t>
  </si>
  <si>
    <t>B</t>
  </si>
  <si>
    <t>C</t>
  </si>
  <si>
    <t>D</t>
  </si>
  <si>
    <t>E</t>
  </si>
  <si>
    <t>F</t>
  </si>
  <si>
    <t>G</t>
  </si>
  <si>
    <t>c1</t>
  </si>
  <si>
    <t>c2</t>
  </si>
  <si>
    <t>H</t>
  </si>
  <si>
    <t>I</t>
  </si>
  <si>
    <t>Raw material data</t>
  </si>
  <si>
    <t>q1</t>
  </si>
  <si>
    <t>q2</t>
  </si>
  <si>
    <t>K1</t>
  </si>
  <si>
    <t>K2</t>
  </si>
  <si>
    <t>K'</t>
  </si>
  <si>
    <t>K</t>
  </si>
  <si>
    <t>Expected Orders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</si>
  <si>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</si>
  <si>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</si>
  <si>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</si>
  <si>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</si>
  <si>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</si>
  <si>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</si>
  <si>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</si>
  <si>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</si>
  <si>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</si>
  <si>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</si>
  <si>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External Demand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</si>
  <si>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</si>
  <si>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</si>
  <si>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</si>
  <si>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</si>
  <si>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</si>
  <si>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</si>
  <si>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</si>
  <si>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</si>
  <si>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</si>
  <si>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</si>
  <si>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ID_1:</t>
  </si>
  <si>
    <t>ID_2:</t>
  </si>
  <si>
    <t>Item A</t>
  </si>
  <si>
    <t>פריט:</t>
  </si>
  <si>
    <t>t</t>
  </si>
  <si>
    <t>ביקוש חיצוני</t>
  </si>
  <si>
    <t>ביקוש פנימי</t>
  </si>
  <si>
    <r>
      <t>R</t>
    </r>
    <r>
      <rPr>
        <vertAlign val="subscript"/>
        <sz val="11"/>
        <color theme="1"/>
        <rFont val="Arial"/>
        <family val="2"/>
        <scheme val="minor"/>
      </rPr>
      <t>t</t>
    </r>
  </si>
  <si>
    <r>
      <t>X</t>
    </r>
    <r>
      <rPr>
        <vertAlign val="subscript"/>
        <sz val="11"/>
        <color theme="1"/>
        <rFont val="Arial"/>
        <family val="2"/>
        <scheme val="minor"/>
      </rPr>
      <t>t</t>
    </r>
  </si>
  <si>
    <r>
      <t>y</t>
    </r>
    <r>
      <rPr>
        <vertAlign val="subscript"/>
        <sz val="11"/>
        <color theme="1"/>
        <rFont val="Arial"/>
        <family val="2"/>
        <scheme val="minor"/>
      </rPr>
      <t>t</t>
    </r>
  </si>
  <si>
    <r>
      <t>D</t>
    </r>
    <r>
      <rPr>
        <vertAlign val="subscript"/>
        <sz val="11"/>
        <color theme="1"/>
        <rFont val="Arial"/>
        <family val="2"/>
        <scheme val="minor"/>
      </rPr>
      <t>t</t>
    </r>
  </si>
  <si>
    <r>
      <t>V</t>
    </r>
    <r>
      <rPr>
        <vertAlign val="subscript"/>
        <sz val="11"/>
        <color theme="1"/>
        <rFont val="Arial"/>
        <family val="2"/>
        <scheme val="minor"/>
      </rPr>
      <t>t</t>
    </r>
  </si>
  <si>
    <r>
      <t>Q</t>
    </r>
    <r>
      <rPr>
        <vertAlign val="subscript"/>
        <sz val="11"/>
        <color theme="1"/>
        <rFont val="Arial"/>
        <family val="2"/>
        <scheme val="minor"/>
      </rPr>
      <t>t</t>
    </r>
  </si>
  <si>
    <t>Item D</t>
  </si>
  <si>
    <t>Item C</t>
  </si>
  <si>
    <t>Item B</t>
  </si>
  <si>
    <t>Item E</t>
  </si>
  <si>
    <t>Raw material H</t>
  </si>
  <si>
    <t>חומר גלם</t>
  </si>
  <si>
    <t>Raw material F</t>
  </si>
  <si>
    <t xml:space="preserve">  </t>
  </si>
  <si>
    <t>Raw material G</t>
  </si>
  <si>
    <t>Raw material I</t>
  </si>
  <si>
    <t>Lot Sizing Method WW</t>
  </si>
  <si>
    <t>k</t>
  </si>
  <si>
    <t>V</t>
  </si>
  <si>
    <t>Q</t>
  </si>
  <si>
    <t>min cost</t>
  </si>
  <si>
    <t>pre period</t>
  </si>
  <si>
    <t>Lot Sizing Method  FP</t>
  </si>
  <si>
    <t>Lot Sizing Method LFL</t>
  </si>
  <si>
    <t>Lot Sizing Method Silver &amp; Meal</t>
  </si>
  <si>
    <t>Item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</si>
  <si>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</si>
  <si>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</si>
  <si>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</si>
  <si>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</si>
  <si>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</si>
  <si>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</si>
  <si>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</si>
  <si>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</si>
  <si>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</si>
  <si>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</si>
  <si>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FP Size</t>
  </si>
  <si>
    <r>
      <t>B</t>
    </r>
    <r>
      <rPr>
        <vertAlign val="subscript"/>
        <sz val="11"/>
        <color theme="1"/>
        <rFont val="Arial"/>
        <family val="2"/>
        <scheme val="minor"/>
      </rPr>
      <t>1t</t>
    </r>
  </si>
  <si>
    <r>
      <t>B</t>
    </r>
    <r>
      <rPr>
        <vertAlign val="subscript"/>
        <sz val="11"/>
        <color theme="1"/>
        <rFont val="Arial"/>
        <family val="2"/>
        <scheme val="minor"/>
      </rPr>
      <t>2t</t>
    </r>
  </si>
  <si>
    <t>Linear Programming</t>
  </si>
  <si>
    <t>Clear</t>
  </si>
  <si>
    <t>Solve</t>
  </si>
  <si>
    <t>Purchase orders / Assembly preparations</t>
  </si>
  <si>
    <r>
      <t>Z</t>
    </r>
    <r>
      <rPr>
        <sz val="8"/>
        <color theme="1"/>
        <rFont val="Arial"/>
        <family val="2"/>
        <scheme val="minor"/>
      </rPr>
      <t>3,10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</si>
  <si>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2,10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</si>
  <si>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1,10</t>
    </r>
    <r>
      <rPr>
        <sz val="11"/>
        <color theme="1"/>
        <rFont val="Arial"/>
        <family val="2"/>
        <charset val="177"/>
        <scheme val="minor"/>
      </rPr>
      <t/>
    </r>
  </si>
  <si>
    <t>......</t>
  </si>
  <si>
    <t>=</t>
  </si>
  <si>
    <t>I10=I9+Q10-V10</t>
  </si>
  <si>
    <r>
      <t>Z</t>
    </r>
    <r>
      <rPr>
        <sz val="8"/>
        <color theme="1"/>
        <rFont val="Arial"/>
        <family val="2"/>
        <scheme val="minor"/>
      </rPr>
      <t>3,9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</si>
  <si>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2,9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</si>
  <si>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1,9</t>
    </r>
    <r>
      <rPr>
        <sz val="11"/>
        <color theme="1"/>
        <rFont val="Arial"/>
        <family val="2"/>
        <charset val="177"/>
        <scheme val="minor"/>
      </rPr>
      <t/>
    </r>
  </si>
  <si>
    <t>I9=I8+Q9-V9</t>
  </si>
  <si>
    <r>
      <t>Z</t>
    </r>
    <r>
      <rPr>
        <sz val="8"/>
        <color theme="1"/>
        <rFont val="Arial"/>
        <family val="2"/>
        <scheme val="minor"/>
      </rPr>
      <t>3,8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</si>
  <si>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2,8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</si>
  <si>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1,8</t>
    </r>
    <r>
      <rPr>
        <sz val="11"/>
        <color theme="1"/>
        <rFont val="Arial"/>
        <family val="2"/>
        <charset val="177"/>
        <scheme val="minor"/>
      </rPr>
      <t/>
    </r>
  </si>
  <si>
    <t>I8=I7+Q8-V8</t>
  </si>
  <si>
    <r>
      <t>Z</t>
    </r>
    <r>
      <rPr>
        <sz val="8"/>
        <color theme="1"/>
        <rFont val="Arial"/>
        <family val="2"/>
        <scheme val="minor"/>
      </rPr>
      <t>3,7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</si>
  <si>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2,7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</si>
  <si>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1,7</t>
    </r>
    <r>
      <rPr>
        <sz val="11"/>
        <color theme="1"/>
        <rFont val="Arial"/>
        <family val="2"/>
        <charset val="177"/>
        <scheme val="minor"/>
      </rPr>
      <t/>
    </r>
  </si>
  <si>
    <t>I7=I6+Q7-V7</t>
  </si>
  <si>
    <r>
      <t>Z</t>
    </r>
    <r>
      <rPr>
        <sz val="8"/>
        <color theme="1"/>
        <rFont val="Arial"/>
        <family val="2"/>
        <scheme val="minor"/>
      </rPr>
      <t>3,6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</si>
  <si>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2,6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</si>
  <si>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1,6</t>
    </r>
    <r>
      <rPr>
        <sz val="11"/>
        <color theme="1"/>
        <rFont val="Arial"/>
        <family val="2"/>
        <charset val="177"/>
        <scheme val="minor"/>
      </rPr>
      <t/>
    </r>
  </si>
  <si>
    <t>I6=I5+Q6-V6</t>
  </si>
  <si>
    <r>
      <t>Z</t>
    </r>
    <r>
      <rPr>
        <sz val="8"/>
        <color theme="1"/>
        <rFont val="Arial"/>
        <family val="2"/>
        <scheme val="minor"/>
      </rPr>
      <t>3,5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</si>
  <si>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2,5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</si>
  <si>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1,5</t>
    </r>
    <r>
      <rPr>
        <sz val="11"/>
        <color theme="1"/>
        <rFont val="Arial"/>
        <family val="2"/>
        <charset val="177"/>
        <scheme val="minor"/>
      </rPr>
      <t/>
    </r>
  </si>
  <si>
    <t>I5=I4+Q5-V5</t>
  </si>
  <si>
    <r>
      <t>Z</t>
    </r>
    <r>
      <rPr>
        <sz val="8"/>
        <color theme="1"/>
        <rFont val="Arial"/>
        <family val="2"/>
        <scheme val="minor"/>
      </rPr>
      <t>3,4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</si>
  <si>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2,4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</si>
  <si>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1,4</t>
    </r>
    <r>
      <rPr>
        <sz val="11"/>
        <color theme="1"/>
        <rFont val="Arial"/>
        <family val="2"/>
        <charset val="177"/>
        <scheme val="minor"/>
      </rPr>
      <t/>
    </r>
  </si>
  <si>
    <t>I4=I3+Q4-V4</t>
  </si>
  <si>
    <r>
      <t>Z</t>
    </r>
    <r>
      <rPr>
        <sz val="8"/>
        <color theme="1"/>
        <rFont val="Arial"/>
        <family val="2"/>
        <scheme val="minor"/>
      </rPr>
      <t>3,3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</si>
  <si>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2,3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</si>
  <si>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1,3</t>
    </r>
    <r>
      <rPr>
        <sz val="11"/>
        <color theme="1"/>
        <rFont val="Arial"/>
        <family val="2"/>
        <charset val="177"/>
        <scheme val="minor"/>
      </rPr>
      <t/>
    </r>
  </si>
  <si>
    <t>I3=I2+Q3-V3</t>
  </si>
  <si>
    <r>
      <t>Z</t>
    </r>
    <r>
      <rPr>
        <sz val="8"/>
        <color theme="1"/>
        <rFont val="Arial"/>
        <family val="2"/>
        <scheme val="minor"/>
      </rPr>
      <t>3,2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</si>
  <si>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2,2</t>
    </r>
    <r>
      <rPr>
        <sz val="11"/>
        <color theme="1"/>
        <rFont val="Arial"/>
        <family val="2"/>
        <charset val="177"/>
        <scheme val="minor"/>
      </rPr>
      <t/>
    </r>
  </si>
  <si>
    <r>
      <t>Z</t>
    </r>
    <r>
      <rPr>
        <sz val="8"/>
        <color theme="1"/>
        <rFont val="Arial"/>
        <family val="2"/>
        <scheme val="minor"/>
      </rPr>
      <t>1,2</t>
    </r>
    <r>
      <rPr>
        <sz val="11"/>
        <color theme="1"/>
        <rFont val="Arial"/>
        <family val="2"/>
        <charset val="177"/>
        <scheme val="minor"/>
      </rPr>
      <t/>
    </r>
  </si>
  <si>
    <t>I2=I1+Q2-V2</t>
  </si>
  <si>
    <r>
      <t>Z</t>
    </r>
    <r>
      <rPr>
        <sz val="8"/>
        <color theme="1"/>
        <rFont val="Arial"/>
        <family val="2"/>
        <scheme val="minor"/>
      </rPr>
      <t>3,1</t>
    </r>
  </si>
  <si>
    <r>
      <t>Z</t>
    </r>
    <r>
      <rPr>
        <sz val="8"/>
        <color theme="1"/>
        <rFont val="Arial"/>
        <family val="2"/>
        <scheme val="minor"/>
      </rPr>
      <t>2,1</t>
    </r>
  </si>
  <si>
    <r>
      <t>Z</t>
    </r>
    <r>
      <rPr>
        <sz val="8"/>
        <color theme="1"/>
        <rFont val="Arial"/>
        <family val="2"/>
        <scheme val="minor"/>
      </rPr>
      <t>1,1</t>
    </r>
  </si>
  <si>
    <t>I1=I0+Q1-V1</t>
  </si>
  <si>
    <r>
      <t>Z</t>
    </r>
    <r>
      <rPr>
        <sz val="8"/>
        <color theme="1"/>
        <rFont val="Arial"/>
        <family val="2"/>
        <scheme val="minor"/>
      </rPr>
      <t>3,0</t>
    </r>
  </si>
  <si>
    <r>
      <t>Z</t>
    </r>
    <r>
      <rPr>
        <sz val="8"/>
        <color theme="1"/>
        <rFont val="Arial"/>
        <family val="2"/>
        <scheme val="minor"/>
      </rPr>
      <t>2,0</t>
    </r>
  </si>
  <si>
    <r>
      <t>Z</t>
    </r>
    <r>
      <rPr>
        <sz val="8"/>
        <color theme="1"/>
        <rFont val="Arial"/>
        <family val="2"/>
        <scheme val="minor"/>
      </rPr>
      <t>1,0</t>
    </r>
  </si>
  <si>
    <r>
      <t>I</t>
    </r>
    <r>
      <rPr>
        <sz val="8"/>
        <color theme="1"/>
        <rFont val="Arial"/>
        <family val="2"/>
        <scheme val="minor"/>
      </rPr>
      <t>0=</t>
    </r>
    <r>
      <rPr>
        <sz val="11"/>
        <color theme="1"/>
        <rFont val="Arial"/>
        <family val="2"/>
        <charset val="177"/>
        <scheme val="minor"/>
      </rPr>
      <t>0</t>
    </r>
  </si>
  <si>
    <t>&gt;=0</t>
  </si>
  <si>
    <r>
      <t>It=I</t>
    </r>
    <r>
      <rPr>
        <sz val="8"/>
        <color theme="1"/>
        <rFont val="Arial"/>
        <family val="2"/>
        <scheme val="minor"/>
      </rPr>
      <t>t-1</t>
    </r>
    <r>
      <rPr>
        <sz val="11"/>
        <color theme="1"/>
        <rFont val="Arial"/>
        <family val="2"/>
        <charset val="177"/>
        <scheme val="minor"/>
      </rPr>
      <t>+Q</t>
    </r>
    <r>
      <rPr>
        <sz val="8"/>
        <color theme="1"/>
        <rFont val="Arial"/>
        <family val="2"/>
        <scheme val="minor"/>
      </rPr>
      <t>t</t>
    </r>
    <r>
      <rPr>
        <sz val="11"/>
        <color theme="1"/>
        <rFont val="Arial"/>
        <family val="2"/>
        <charset val="177"/>
        <scheme val="minor"/>
      </rPr>
      <t>-V</t>
    </r>
    <r>
      <rPr>
        <sz val="8"/>
        <color theme="1"/>
        <rFont val="Arial"/>
        <family val="2"/>
        <scheme val="minor"/>
      </rPr>
      <t>t</t>
    </r>
  </si>
  <si>
    <t xml:space="preserve">value </t>
  </si>
  <si>
    <r>
      <t>I</t>
    </r>
    <r>
      <rPr>
        <sz val="8"/>
        <color theme="1"/>
        <rFont val="Arial"/>
        <family val="2"/>
        <scheme val="minor"/>
      </rPr>
      <t>t</t>
    </r>
  </si>
  <si>
    <t xml:space="preserve">Constrains </t>
  </si>
  <si>
    <r>
      <t>B</t>
    </r>
    <r>
      <rPr>
        <sz val="8"/>
        <color theme="1"/>
        <rFont val="Arial"/>
        <family val="2"/>
        <scheme val="minor"/>
      </rPr>
      <t>2,10</t>
    </r>
  </si>
  <si>
    <r>
      <t>B</t>
    </r>
    <r>
      <rPr>
        <sz val="8"/>
        <color theme="1"/>
        <rFont val="Arial"/>
        <family val="2"/>
        <scheme val="minor"/>
      </rPr>
      <t>1,10</t>
    </r>
  </si>
  <si>
    <r>
      <t>B</t>
    </r>
    <r>
      <rPr>
        <sz val="8"/>
        <color theme="1"/>
        <rFont val="Arial"/>
        <family val="2"/>
        <scheme val="minor"/>
      </rPr>
      <t>2,9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</si>
  <si>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1,9</t>
    </r>
    <r>
      <rPr>
        <sz val="11"/>
        <color theme="1"/>
        <rFont val="Arial"/>
        <family val="2"/>
        <charset val="177"/>
        <scheme val="minor"/>
      </rPr>
      <t/>
    </r>
  </si>
  <si>
    <t>M=</t>
  </si>
  <si>
    <r>
      <t>B</t>
    </r>
    <r>
      <rPr>
        <sz val="8"/>
        <color theme="1"/>
        <rFont val="Arial"/>
        <family val="2"/>
        <scheme val="minor"/>
      </rPr>
      <t>2,8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</si>
  <si>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1,8</t>
    </r>
    <r>
      <rPr>
        <sz val="11"/>
        <color theme="1"/>
        <rFont val="Arial"/>
        <family val="2"/>
        <charset val="177"/>
        <scheme val="minor"/>
      </rPr>
      <t/>
    </r>
  </si>
  <si>
    <t>k'=</t>
  </si>
  <si>
    <r>
      <t>B</t>
    </r>
    <r>
      <rPr>
        <sz val="8"/>
        <color theme="1"/>
        <rFont val="Arial"/>
        <family val="2"/>
        <scheme val="minor"/>
      </rPr>
      <t>2,7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</si>
  <si>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1,7</t>
    </r>
    <r>
      <rPr>
        <sz val="11"/>
        <color theme="1"/>
        <rFont val="Arial"/>
        <family val="2"/>
        <charset val="177"/>
        <scheme val="minor"/>
      </rPr>
      <t/>
    </r>
  </si>
  <si>
    <t>k2=</t>
  </si>
  <si>
    <r>
      <t>B</t>
    </r>
    <r>
      <rPr>
        <sz val="8"/>
        <color theme="1"/>
        <rFont val="Arial"/>
        <family val="2"/>
        <scheme val="minor"/>
      </rPr>
      <t>2,6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</si>
  <si>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1,6</t>
    </r>
    <r>
      <rPr>
        <sz val="11"/>
        <color theme="1"/>
        <rFont val="Arial"/>
        <family val="2"/>
        <charset val="177"/>
        <scheme val="minor"/>
      </rPr>
      <t/>
    </r>
  </si>
  <si>
    <t>Qt</t>
  </si>
  <si>
    <t>k1=</t>
  </si>
  <si>
    <r>
      <t>B</t>
    </r>
    <r>
      <rPr>
        <sz val="8"/>
        <color theme="1"/>
        <rFont val="Arial"/>
        <family val="2"/>
        <scheme val="minor"/>
      </rPr>
      <t>2,5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</si>
  <si>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1,5</t>
    </r>
    <r>
      <rPr>
        <sz val="11"/>
        <color theme="1"/>
        <rFont val="Arial"/>
        <family val="2"/>
        <charset val="177"/>
        <scheme val="minor"/>
      </rPr>
      <t/>
    </r>
  </si>
  <si>
    <t>B2t</t>
  </si>
  <si>
    <t>c2=</t>
  </si>
  <si>
    <r>
      <t>B</t>
    </r>
    <r>
      <rPr>
        <sz val="8"/>
        <color theme="1"/>
        <rFont val="Arial"/>
        <family val="2"/>
        <scheme val="minor"/>
      </rPr>
      <t>2,4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</si>
  <si>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1,4</t>
    </r>
    <r>
      <rPr>
        <sz val="11"/>
        <color theme="1"/>
        <rFont val="Arial"/>
        <family val="2"/>
        <charset val="177"/>
        <scheme val="minor"/>
      </rPr>
      <t/>
    </r>
  </si>
  <si>
    <t>B1t</t>
  </si>
  <si>
    <t>c1=</t>
  </si>
  <si>
    <r>
      <t>B</t>
    </r>
    <r>
      <rPr>
        <sz val="8"/>
        <color theme="1"/>
        <rFont val="Arial"/>
        <family val="2"/>
        <scheme val="minor"/>
      </rPr>
      <t>2,3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</si>
  <si>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1,3</t>
    </r>
    <r>
      <rPr>
        <sz val="11"/>
        <color theme="1"/>
        <rFont val="Arial"/>
        <family val="2"/>
        <charset val="177"/>
        <scheme val="minor"/>
      </rPr>
      <t/>
    </r>
  </si>
  <si>
    <t>Vt</t>
  </si>
  <si>
    <t>q2=</t>
  </si>
  <si>
    <r>
      <t>B</t>
    </r>
    <r>
      <rPr>
        <sz val="8"/>
        <color theme="1"/>
        <rFont val="Arial"/>
        <family val="2"/>
        <scheme val="minor"/>
      </rPr>
      <t>2,2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</si>
  <si>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1,2</t>
    </r>
    <r>
      <rPr>
        <sz val="11"/>
        <color theme="1"/>
        <rFont val="Arial"/>
        <family val="2"/>
        <charset val="177"/>
        <scheme val="minor"/>
      </rPr>
      <t/>
    </r>
  </si>
  <si>
    <t>q1=</t>
  </si>
  <si>
    <r>
      <t>B</t>
    </r>
    <r>
      <rPr>
        <sz val="8"/>
        <color theme="1"/>
        <rFont val="Arial"/>
        <family val="2"/>
        <scheme val="minor"/>
      </rPr>
      <t>2,1</t>
    </r>
    <r>
      <rPr>
        <sz val="11"/>
        <color theme="1"/>
        <rFont val="Arial"/>
        <family val="2"/>
        <charset val="177"/>
        <scheme val="minor"/>
      </rPr>
      <t/>
    </r>
  </si>
  <si>
    <r>
      <t>B</t>
    </r>
    <r>
      <rPr>
        <sz val="8"/>
        <color theme="1"/>
        <rFont val="Arial"/>
        <family val="2"/>
        <scheme val="minor"/>
      </rPr>
      <t>1,1</t>
    </r>
    <r>
      <rPr>
        <sz val="11"/>
        <color theme="1"/>
        <rFont val="Arial"/>
        <family val="2"/>
        <charset val="177"/>
        <scheme val="minor"/>
      </rPr>
      <t/>
    </r>
  </si>
  <si>
    <t>h=</t>
  </si>
  <si>
    <r>
      <t>B</t>
    </r>
    <r>
      <rPr>
        <sz val="8"/>
        <color theme="1"/>
        <rFont val="Arial"/>
        <family val="2"/>
        <scheme val="minor"/>
      </rPr>
      <t>2,0</t>
    </r>
    <r>
      <rPr>
        <sz val="11"/>
        <color theme="1"/>
        <rFont val="Arial"/>
        <family val="2"/>
        <charset val="177"/>
        <scheme val="minor"/>
      </rPr>
      <t/>
    </r>
  </si>
  <si>
    <t>Min Z=</t>
  </si>
  <si>
    <r>
      <t>Q</t>
    </r>
    <r>
      <rPr>
        <sz val="8"/>
        <color theme="1"/>
        <rFont val="Arial"/>
        <family val="2"/>
        <scheme val="minor"/>
      </rPr>
      <t>t</t>
    </r>
  </si>
  <si>
    <t>h cost</t>
  </si>
  <si>
    <t xml:space="preserve">K cost </t>
  </si>
  <si>
    <r>
      <t>B</t>
    </r>
    <r>
      <rPr>
        <sz val="8"/>
        <color theme="1"/>
        <rFont val="Arial"/>
        <family val="2"/>
        <scheme val="minor"/>
      </rPr>
      <t>2t</t>
    </r>
  </si>
  <si>
    <r>
      <t>B</t>
    </r>
    <r>
      <rPr>
        <sz val="8"/>
        <color theme="1"/>
        <rFont val="Arial"/>
        <family val="2"/>
        <scheme val="minor"/>
      </rPr>
      <t>1t</t>
    </r>
  </si>
  <si>
    <t>value</t>
  </si>
  <si>
    <r>
      <t>Z</t>
    </r>
    <r>
      <rPr>
        <sz val="8"/>
        <color theme="1"/>
        <rFont val="Arial"/>
        <family val="2"/>
        <scheme val="minor"/>
      </rPr>
      <t>3,t</t>
    </r>
  </si>
  <si>
    <r>
      <t>Z</t>
    </r>
    <r>
      <rPr>
        <sz val="8"/>
        <color theme="1"/>
        <rFont val="Arial"/>
        <family val="2"/>
        <scheme val="minor"/>
      </rPr>
      <t>2,t</t>
    </r>
  </si>
  <si>
    <r>
      <t>Z</t>
    </r>
    <r>
      <rPr>
        <sz val="8"/>
        <color theme="1"/>
        <rFont val="Arial"/>
        <family val="2"/>
        <scheme val="minor"/>
      </rPr>
      <t>1,t</t>
    </r>
  </si>
  <si>
    <r>
      <t>B</t>
    </r>
    <r>
      <rPr>
        <sz val="8"/>
        <color theme="1"/>
        <rFont val="Arial"/>
        <family val="2"/>
        <scheme val="minor"/>
      </rPr>
      <t>2,t</t>
    </r>
  </si>
  <si>
    <r>
      <t>B</t>
    </r>
    <r>
      <rPr>
        <sz val="8"/>
        <color theme="1"/>
        <rFont val="Arial"/>
        <family val="2"/>
        <scheme val="minor"/>
      </rPr>
      <t>1,t</t>
    </r>
  </si>
  <si>
    <t>total=</t>
  </si>
  <si>
    <t>solution:</t>
  </si>
  <si>
    <t>דרישות נטו</t>
  </si>
  <si>
    <t>PARAMETERS</t>
  </si>
  <si>
    <t>Decision variables:</t>
  </si>
  <si>
    <t>RAW:</t>
  </si>
  <si>
    <r>
      <t>B</t>
    </r>
    <r>
      <rPr>
        <sz val="8"/>
        <color theme="1"/>
        <rFont val="Arial"/>
        <family val="2"/>
        <scheme val="minor"/>
      </rPr>
      <t>1,0</t>
    </r>
    <r>
      <rPr>
        <sz val="11"/>
        <color theme="1"/>
        <rFont val="Arial"/>
        <family val="2"/>
        <charset val="177"/>
        <scheme val="minor"/>
      </rPr>
      <t/>
    </r>
  </si>
  <si>
    <t>Summary</t>
  </si>
  <si>
    <t>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</si>
</sst>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charset val="177"/>
      <scheme val="minor"/>
    </font>
    <font>
      <b/>
      <sz val="11"/>
      <color indexed="8"/>
      <name val="Calibri"/>
      <family val="2"/>
    </font>
    <font>
      <b/>
      <sz val="11"/>
      <color theme="1"/>
      <name val="Arial"/>
      <family val="2"/>
      <scheme val="minor"/>
    </font>
    <font>
      <b/>
      <sz val="11"/>
      <color indexed="9"/>
      <name val="Calibri"/>
      <family val="2"/>
    </font>
    <font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sz val="11"/>
      <color rgb="FF006100"/>
      <name val="Arial"/>
      <family val="2"/>
      <charset val="177"/>
      <scheme val="minor"/>
    </font>
    <font>
      <sz val="11"/>
      <color rgb="FF9C5700"/>
      <name val="Arial"/>
      <family val="2"/>
      <charset val="177"/>
      <scheme val="minor"/>
    </font>
    <font>
      <sz val="11"/>
      <color rgb="FF3F3F76"/>
      <name val="Arial"/>
      <family val="2"/>
      <charset val="177"/>
      <scheme val="minor"/>
    </font>
    <font>
      <b/>
      <sz val="11"/>
      <color rgb="FF3F3F3F"/>
      <name val="Arial"/>
      <family val="2"/>
      <charset val="177"/>
      <scheme val="minor"/>
    </font>
    <font>
      <sz val="8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9C57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5E8E7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9" borderId="33" applyNumberFormat="0" applyAlignment="0" applyProtection="0"/>
    <xf numFmtId="0" fontId="11" fillId="10" borderId="34" applyNumberFormat="0" applyAlignment="0" applyProtection="0"/>
    <xf numFmtId="0" fontId="7" fillId="11" borderId="35" applyNumberFormat="0" applyFont="0" applyAlignment="0" applyProtection="0"/>
    <xf numFmtId="0" fontId="7" fillId="12" borderId="0" applyNumberFormat="0" applyBorder="0" applyAlignment="0" applyProtection="0"/>
  </cellStyleXfs>
  <cellXfs count="118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center" vertical="center"/>
      <protection locked="0"/>
    </xf>
    <xf numFmtId="0" fontId="0" fillId="4" borderId="12" xfId="0" applyFill="1" applyBorder="1" applyAlignment="1" applyProtection="1">
      <alignment horizontal="center" vertical="center"/>
      <protection locked="0"/>
    </xf>
    <xf numFmtId="0" fontId="0" fillId="4" borderId="13" xfId="0" applyFill="1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  <protection locked="0"/>
    </xf>
    <xf numFmtId="0" fontId="0" fillId="4" borderId="16" xfId="0" applyFill="1" applyBorder="1" applyAlignment="1" applyProtection="1">
      <alignment horizontal="center" vertical="center"/>
      <protection locked="0"/>
    </xf>
    <xf numFmtId="0" fontId="2" fillId="3" borderId="19" xfId="0" applyFont="1" applyFill="1" applyBorder="1" applyAlignment="1">
      <alignment horizontal="center" vertical="center"/>
    </xf>
    <xf numFmtId="0" fontId="0" fillId="4" borderId="18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0" fillId="4" borderId="8" xfId="0" applyFill="1" applyBorder="1" applyAlignment="1" applyProtection="1">
      <alignment horizontal="center"/>
      <protection locked="0"/>
    </xf>
    <xf numFmtId="0" fontId="0" fillId="4" borderId="12" xfId="0" applyFill="1" applyBorder="1" applyAlignment="1" applyProtection="1">
      <alignment horizontal="center"/>
      <protection locked="0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5" borderId="24" xfId="0" applyFon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26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 wrapText="1" readingOrder="2"/>
    </xf>
    <xf numFmtId="0" fontId="5" fillId="5" borderId="28" xfId="0" applyFont="1" applyFill="1" applyBorder="1" applyAlignment="1">
      <alignment horizontal="center" vertical="center" wrapText="1" readingOrder="2"/>
    </xf>
    <xf numFmtId="0" fontId="5" fillId="5" borderId="29" xfId="0" applyFont="1" applyFill="1" applyBorder="1" applyAlignment="1">
      <alignment horizontal="center" vertical="center" wrapText="1" readingOrder="2"/>
    </xf>
    <xf numFmtId="0" fontId="2" fillId="2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4" borderId="25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>
      <alignment horizontal="center" vertical="center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31" xfId="0" applyFill="1" applyBorder="1" applyAlignment="1" applyProtection="1">
      <alignment horizontal="center" vertical="center"/>
      <protection locked="0"/>
    </xf>
    <xf numFmtId="0" fontId="3" fillId="6" borderId="14" xfId="0" applyFont="1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>
      <alignment horizontal="center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6" borderId="13" xfId="0" applyFill="1" applyBorder="1"/>
    <xf numFmtId="0" fontId="0" fillId="6" borderId="20" xfId="0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4" borderId="32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0" fillId="11" borderId="35" xfId="5" applyFont="1" applyAlignment="1">
      <alignment horizontal="center"/>
    </xf>
    <xf numFmtId="0" fontId="0" fillId="13" borderId="0" xfId="0" applyFill="1" applyAlignment="1">
      <alignment horizontal="center"/>
    </xf>
    <xf numFmtId="0" fontId="9" fillId="8" borderId="37" xfId="2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9" fillId="8" borderId="39" xfId="2" applyBorder="1" applyAlignment="1">
      <alignment horizontal="center"/>
    </xf>
    <xf numFmtId="0" fontId="0" fillId="13" borderId="40" xfId="0" applyFill="1" applyBorder="1" applyAlignment="1">
      <alignment horizontal="center"/>
    </xf>
    <xf numFmtId="0" fontId="8" fillId="7" borderId="35" xfId="1" applyBorder="1" applyAlignment="1">
      <alignment horizontal="center"/>
    </xf>
    <xf numFmtId="0" fontId="11" fillId="10" borderId="34" xfId="4" applyAlignment="1">
      <alignment horizontal="center"/>
    </xf>
    <xf numFmtId="0" fontId="0" fillId="0" borderId="41" xfId="0" applyBorder="1" applyAlignment="1">
      <alignment horizontal="center"/>
    </xf>
    <xf numFmtId="0" fontId="3" fillId="0" borderId="0" xfId="0" applyFont="1" applyAlignment="1">
      <alignment horizontal="center"/>
    </xf>
    <xf numFmtId="0" fontId="0" fillId="13" borderId="42" xfId="0" applyFill="1" applyBorder="1" applyAlignment="1">
      <alignment horizontal="center"/>
    </xf>
    <xf numFmtId="0" fontId="9" fillId="8" borderId="43" xfId="2" applyBorder="1" applyAlignment="1">
      <alignment horizontal="center"/>
    </xf>
    <xf numFmtId="0" fontId="9" fillId="8" borderId="44" xfId="2" applyBorder="1" applyAlignment="1">
      <alignment horizontal="center"/>
    </xf>
    <xf numFmtId="0" fontId="0" fillId="0" borderId="45" xfId="0" applyBorder="1" applyAlignment="1">
      <alignment horizontal="center"/>
    </xf>
    <xf numFmtId="0" fontId="0" fillId="13" borderId="46" xfId="0" applyFill="1" applyBorder="1" applyAlignment="1">
      <alignment horizontal="center"/>
    </xf>
    <xf numFmtId="0" fontId="14" fillId="8" borderId="0" xfId="2" applyFont="1" applyAlignment="1">
      <alignment horizontal="center"/>
    </xf>
    <xf numFmtId="0" fontId="9" fillId="8" borderId="0" xfId="2" applyAlignment="1">
      <alignment horizontal="center"/>
    </xf>
    <xf numFmtId="0" fontId="15" fillId="0" borderId="0" xfId="0" applyFont="1" applyAlignment="1">
      <alignment horizontal="center"/>
    </xf>
    <xf numFmtId="0" fontId="10" fillId="9" borderId="33" xfId="3" applyAlignment="1">
      <alignment horizontal="center"/>
    </xf>
    <xf numFmtId="2" fontId="8" fillId="7" borderId="35" xfId="1" applyNumberFormat="1" applyBorder="1" applyAlignment="1">
      <alignment horizontal="center"/>
    </xf>
    <xf numFmtId="0" fontId="2" fillId="3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4" borderId="5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7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/>
    <xf numFmtId="0" fontId="0" fillId="4" borderId="6" xfId="0" applyFill="1" applyBorder="1"/>
    <xf numFmtId="2" fontId="9" fillId="8" borderId="38" xfId="2" applyNumberFormat="1" applyBorder="1" applyAlignment="1">
      <alignment horizontal="center"/>
    </xf>
    <xf numFmtId="2" fontId="9" fillId="8" borderId="36" xfId="2" applyNumberFormat="1" applyBorder="1" applyAlignment="1">
      <alignment horizontal="center"/>
    </xf>
    <xf numFmtId="1" fontId="7" fillId="12" borderId="34" xfId="6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6" fillId="0" borderId="0" xfId="0" applyFont="1" applyAlignment="1">
      <alignment horizontal="center"/>
    </xf>
  </cellXfs>
  <cellStyles count="7">
    <cellStyle name="20% - הדגשה6" xfId="6" builtinId="50"/>
    <cellStyle name="Normal" xfId="0" builtinId="0"/>
    <cellStyle name="הערה" xfId="5" builtinId="10"/>
    <cellStyle name="טוב" xfId="1" builtinId="26"/>
    <cellStyle name="ניטראלי" xfId="2" builtinId="28"/>
    <cellStyle name="פלט" xfId="4" builtinId="21"/>
    <cellStyle name="קלט" xfId="3" builtinId="20"/>
  </cellStyles>
  <dxfs count="92"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B5E8E7"/>
      <color rgb="FFB5DFE7"/>
      <color rgb="FFB0E2EC"/>
      <color rgb="FFFBA3DE"/>
      <color rgb="FFF98BCA"/>
      <color rgb="FFFBD7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20</xdr:row>
      <xdr:rowOff>0</xdr:rowOff>
    </xdr:from>
    <xdr:to>
      <xdr:col>22</xdr:col>
      <xdr:colOff>38100</xdr:colOff>
      <xdr:row>35</xdr:row>
      <xdr:rowOff>143435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05D1EBB2-48F3-4EDE-A58E-FB9F3B7B32EF}"/>
            </a:ext>
          </a:extLst>
        </xdr:cNvPr>
        <xdr:cNvSpPr txBox="1">
          <a:spLocks noChangeArrowheads="1"/>
        </xdr:cNvSpPr>
      </xdr:nvSpPr>
      <xdr:spPr bwMode="auto">
        <a:xfrm>
          <a:off x="8534400" y="3657600"/>
          <a:ext cx="5345206" cy="2859741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עמוד הקלט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אין לשנות את עמוד זה מלבד הזנת קלט בתאים הצבועים בלבן והזנת תעודות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זהות המגישים בתאים הצבועים ב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תכלת.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כל אחת מהשורות בטבלאות בגיליון זה וכמו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כן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עמודת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LotSize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בטבלה הראשונה היא וקטור של רכיב אשר יש לו שם: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  <a:ea typeface="+mn-ea"/>
              <a:cs typeface="+mn-cs"/>
            </a:rPr>
            <a:t>- כאשר מסמנים את תאי הוקטור ניתן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לראות את השמות בתיבה השמאלית העליונה באקסל. </a:t>
          </a: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- כאשר לוחצים על החץ בתוך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התיבה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ניתן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לראות את כל השמות שהוגדרו עבור וקטורים באותו גיליון ובכל הקובץ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כדאי להשתמש בשמות של וקטורים על מנת להקל על העבודה,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תוכלו להגדיר שמות לכל טווח תאים שתרצו ע"י בחירה בטווח תאים וכתיבה של שם בתיבה שהוזכרה מקודם.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clearAll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מוחק את כל התאים של הקלט (כל התאים הלבנים) - שימו לב! לא ניתן לחזור לאחור לאחר המחיקה.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Calibri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הכפתור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מפעיל את הסברוטינה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solve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אשר עליכם לערוך ב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VB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. </a:t>
          </a:r>
        </a:p>
        <a:p>
          <a:pPr algn="r" rtl="1">
            <a:defRPr sz="1000"/>
          </a:pP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  <xdr:twoCellAnchor editAs="oneCell">
    <xdr:from>
      <xdr:col>14</xdr:col>
      <xdr:colOff>573741</xdr:colOff>
      <xdr:row>8</xdr:row>
      <xdr:rowOff>53789</xdr:rowOff>
    </xdr:from>
    <xdr:to>
      <xdr:col>16</xdr:col>
      <xdr:colOff>797074</xdr:colOff>
      <xdr:row>16</xdr:row>
      <xdr:rowOff>3250</xdr:rowOff>
    </xdr:to>
    <xdr:pic macro="[0]!clearAll">
      <xdr:nvPicPr>
        <xdr:cNvPr id="6" name="גרפיקה 5" descr="סחבה ודלי עם מילוי מלא">
          <a:extLst>
            <a:ext uri="{FF2B5EF4-FFF2-40B4-BE49-F238E27FC236}">
              <a16:creationId xmlns:a16="http://schemas.microsoft.com/office/drawing/2014/main" id="{9245BD75-466D-4D87-B484-3021307D5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108141" y="1515036"/>
          <a:ext cx="1425388" cy="1425388"/>
        </a:xfrm>
        <a:prstGeom prst="rect">
          <a:avLst/>
        </a:prstGeom>
        <a:effectLst>
          <a:glow rad="101600">
            <a:schemeClr val="tx1">
              <a:alpha val="60000"/>
            </a:schemeClr>
          </a:glow>
        </a:effectLst>
      </xdr:spPr>
    </xdr:pic>
    <xdr:clientData/>
  </xdr:twoCellAnchor>
  <xdr:twoCellAnchor editAs="oneCell">
    <xdr:from>
      <xdr:col>17</xdr:col>
      <xdr:colOff>340658</xdr:colOff>
      <xdr:row>8</xdr:row>
      <xdr:rowOff>26894</xdr:rowOff>
    </xdr:from>
    <xdr:to>
      <xdr:col>20</xdr:col>
      <xdr:colOff>72837</xdr:colOff>
      <xdr:row>16</xdr:row>
      <xdr:rowOff>110041</xdr:rowOff>
    </xdr:to>
    <xdr:pic macro="[0]!solve">
      <xdr:nvPicPr>
        <xdr:cNvPr id="8" name="גרפיקה 7" descr="חשבוניה עם מילוי מלא">
          <a:extLst>
            <a:ext uri="{FF2B5EF4-FFF2-40B4-BE49-F238E27FC236}">
              <a16:creationId xmlns:a16="http://schemas.microsoft.com/office/drawing/2014/main" id="{3E3FC470-2235-431F-A0F5-60484F0C6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134164" y="1488141"/>
          <a:ext cx="1541929" cy="1541929"/>
        </a:xfrm>
        <a:prstGeom prst="rect">
          <a:avLst/>
        </a:prstGeom>
        <a:effectLst>
          <a:glow rad="101600">
            <a:schemeClr val="tx1">
              <a:alpha val="60000"/>
            </a:schemeClr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287678</xdr:colOff>
      <xdr:row>4</xdr:row>
      <xdr:rowOff>91440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BA94E48E-D009-44CA-87A0-FC7A1F7479AF}"/>
            </a:ext>
          </a:extLst>
        </xdr:cNvPr>
        <xdr:cNvSpPr txBox="1">
          <a:spLocks noChangeArrowheads="1"/>
        </xdr:cNvSpPr>
      </xdr:nvSpPr>
      <xdr:spPr bwMode="auto">
        <a:xfrm>
          <a:off x="7315200" y="190500"/>
          <a:ext cx="3945278" cy="64770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זהו עמוד הסיכום (הפלט).</a:t>
          </a:r>
        </a:p>
        <a:p>
          <a:pPr algn="ctr" rtl="1">
            <a:defRPr sz="1000"/>
          </a:pPr>
          <a:endParaRPr lang="he-IL" sz="1100" b="0" i="0" strike="noStrike">
            <a:solidFill>
              <a:srgbClr val="000000"/>
            </a:solidFill>
            <a:latin typeface="+mn-lt"/>
          </a:endParaRP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אין לשנות את עמוד זה מלבד הזנת נתונים בכל התאים המכילים </a:t>
          </a:r>
          <a:r>
            <a:rPr lang="en-US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x</a:t>
          </a:r>
          <a:r>
            <a:rPr lang="he-IL" sz="11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.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716B0B70-D8A4-4C22-A699-7D1E90F25A17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A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A5865A4-67A8-4945-98F8-34BC605C5224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CBD7E7-6C5E-404D-96B7-F7589EE11E6B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C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A2C19C-E434-435D-A2BC-49CC269E3CBE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D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0</xdr:rowOff>
    </xdr:from>
    <xdr:to>
      <xdr:col>10</xdr:col>
      <xdr:colOff>89558</xdr:colOff>
      <xdr:row>19</xdr:row>
      <xdr:rowOff>48757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286CD66-E3F6-496A-93A5-261DCFB0F984}"/>
            </a:ext>
          </a:extLst>
        </xdr:cNvPr>
        <xdr:cNvSpPr txBox="1">
          <a:spLocks noChangeArrowheads="1"/>
        </xdr:cNvSpPr>
      </xdr:nvSpPr>
      <xdr:spPr bwMode="auto">
        <a:xfrm>
          <a:off x="1219200" y="3322320"/>
          <a:ext cx="4966358" cy="780277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פריט הרכבה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E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5" name="TextBox 1">
          <a:extLst>
            <a:ext uri="{FF2B5EF4-FFF2-40B4-BE49-F238E27FC236}">
              <a16:creationId xmlns:a16="http://schemas.microsoft.com/office/drawing/2014/main" id="{542B3963-3BBA-4235-AB72-30B1A5C31DED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F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C5D8C63B-4265-4395-B4FE-793D7C79168F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G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65967B97-1FD9-427C-A4B8-0D3A4055F4BA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H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0</xdr:rowOff>
    </xdr:from>
    <xdr:to>
      <xdr:col>9</xdr:col>
      <xdr:colOff>607907</xdr:colOff>
      <xdr:row>21</xdr:row>
      <xdr:rowOff>53340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49FD2A26-B343-4DF3-B4EF-98EDB5E87F73}"/>
            </a:ext>
          </a:extLst>
        </xdr:cNvPr>
        <xdr:cNvSpPr txBox="1">
          <a:spLocks noChangeArrowheads="1"/>
        </xdr:cNvSpPr>
      </xdr:nvSpPr>
      <xdr:spPr bwMode="auto">
        <a:xfrm>
          <a:off x="1219200" y="3451860"/>
          <a:ext cx="4875107" cy="967740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+mn-lt"/>
            </a:rPr>
            <a:t>זו טבלת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חישוב עבור חומר גלם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יש להעתיק את נתוני הפריט מגיליון ה-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input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אל התאים הצבועים בתכלת.</a:t>
          </a:r>
        </a:p>
        <a:p>
          <a:pPr algn="r" rtl="1">
            <a:defRPr sz="1000"/>
          </a:pPr>
          <a:endParaRPr lang="he-IL" sz="1100" b="0" i="0" strike="noStrike" baseline="0">
            <a:solidFill>
              <a:srgbClr val="000000"/>
            </a:solidFill>
            <a:latin typeface="+mn-lt"/>
          </a:endParaRPr>
        </a:p>
        <a:p>
          <a:pPr algn="r" rtl="1">
            <a:defRPr sz="1000"/>
          </a:pP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B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it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- מספר האריזות מסוג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i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שהוזמנו. </a:t>
          </a:r>
          <a:r>
            <a:rPr lang="en-US" sz="1100" b="0" i="0" strike="noStrike" baseline="0">
              <a:solidFill>
                <a:srgbClr val="000000"/>
              </a:solidFill>
              <a:latin typeface="+mn-lt"/>
            </a:rPr>
            <a:t>Q</a:t>
          </a:r>
          <a:r>
            <a:rPr lang="en-US" sz="700" b="0" i="0" strike="noStrike" baseline="0">
              <a:solidFill>
                <a:srgbClr val="000000"/>
              </a:solidFill>
              <a:latin typeface="+mn-lt"/>
            </a:rPr>
            <a:t>t</a:t>
          </a:r>
          <a:r>
            <a:rPr lang="he-IL" sz="1100" b="0" i="0" strike="noStrike" baseline="0">
              <a:solidFill>
                <a:srgbClr val="000000"/>
              </a:solidFill>
              <a:latin typeface="+mn-lt"/>
            </a:rPr>
            <a:t> מספר היחידות הכולל</a:t>
          </a:r>
          <a:endParaRPr lang="he-IL" sz="1100" b="0" i="0" strike="noStrike">
            <a:solidFill>
              <a:srgbClr val="000000"/>
            </a:solidFill>
            <a:latin typeface="Calibri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8</xdr:col>
      <xdr:colOff>563880</xdr:colOff>
      <xdr:row>15</xdr:row>
      <xdr:rowOff>127635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FAB9C9A6-851E-461D-AE7D-A17796D7734C}"/>
            </a:ext>
          </a:extLst>
        </xdr:cNvPr>
        <xdr:cNvSpPr txBox="1">
          <a:spLocks noChangeArrowheads="1"/>
        </xdr:cNvSpPr>
      </xdr:nvSpPr>
      <xdr:spPr bwMode="auto">
        <a:xfrm>
          <a:off x="609600" y="2232660"/>
          <a:ext cx="4831080" cy="676275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WW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8</xdr:col>
      <xdr:colOff>563880</xdr:colOff>
      <xdr:row>13</xdr:row>
      <xdr:rowOff>127635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906A2E-F1D9-4EDC-B4EC-D6FA2BE64FFC}"/>
            </a:ext>
          </a:extLst>
        </xdr:cNvPr>
        <xdr:cNvSpPr txBox="1">
          <a:spLocks noChangeArrowheads="1"/>
        </xdr:cNvSpPr>
      </xdr:nvSpPr>
      <xdr:spPr bwMode="auto">
        <a:xfrm>
          <a:off x="609600" y="1866900"/>
          <a:ext cx="4831080" cy="676275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S&amp;M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563880</xdr:colOff>
      <xdr:row>12</xdr:row>
      <xdr:rowOff>127635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C7237CD-BD5A-49A0-81B2-8218DDFC729C}"/>
            </a:ext>
          </a:extLst>
        </xdr:cNvPr>
        <xdr:cNvSpPr txBox="1">
          <a:spLocks noChangeArrowheads="1"/>
        </xdr:cNvSpPr>
      </xdr:nvSpPr>
      <xdr:spPr bwMode="auto">
        <a:xfrm>
          <a:off x="609600" y="1645920"/>
          <a:ext cx="4831080" cy="676275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LFL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563880</xdr:colOff>
      <xdr:row>12</xdr:row>
      <xdr:rowOff>127635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22315F-6946-44AF-943E-964B62CE4D16}"/>
            </a:ext>
          </a:extLst>
        </xdr:cNvPr>
        <xdr:cNvSpPr txBox="1">
          <a:spLocks noChangeArrowheads="1"/>
        </xdr:cNvSpPr>
      </xdr:nvSpPr>
      <xdr:spPr bwMode="auto">
        <a:xfrm>
          <a:off x="609600" y="1691640"/>
          <a:ext cx="4831080" cy="676275"/>
        </a:xfrm>
        <a:prstGeom prst="rect">
          <a:avLst/>
        </a:prstGeom>
        <a:solidFill>
          <a:schemeClr val="accent2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זהו 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עמוד עזר (אין חובה</a:t>
          </a:r>
          <a:r>
            <a:rPr lang="he-IL" sz="1100" b="1" i="0" u="sng" strike="noStrike" baseline="0">
              <a:solidFill>
                <a:srgbClr val="000000"/>
              </a:solidFill>
              <a:latin typeface="Calibri"/>
            </a:rPr>
            <a:t> להשתמש בגיליון זה</a:t>
          </a:r>
          <a:r>
            <a:rPr lang="he-IL" sz="1100" b="1" i="0" u="sng" strike="noStrike">
              <a:solidFill>
                <a:srgbClr val="000000"/>
              </a:solidFill>
              <a:latin typeface="Calibri"/>
            </a:rPr>
            <a:t>)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לקביעת גודל מנה לפי 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FP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.</a:t>
          </a:r>
        </a:p>
        <a:p>
          <a:pPr algn="ctr" rtl="1">
            <a:defRPr sz="1000"/>
          </a:pPr>
          <a:endParaRPr lang="en-US" sz="1100" b="0" i="0" strike="noStrike">
            <a:solidFill>
              <a:srgbClr val="000000"/>
            </a:solidFill>
            <a:latin typeface="Calibri"/>
          </a:endParaRPr>
        </a:p>
        <a:p>
          <a:pPr algn="ctr" rtl="1">
            <a:defRPr sz="1000"/>
          </a:pPr>
          <a:r>
            <a:rPr lang="he-IL" sz="1100" b="0" i="0" strike="noStrike">
              <a:solidFill>
                <a:srgbClr val="000000"/>
              </a:solidFill>
              <a:latin typeface="Calibri"/>
            </a:rPr>
            <a:t>לתאים שמתחת</a:t>
          </a:r>
          <a:r>
            <a:rPr lang="en-US" sz="1100" b="0" i="0" strike="noStrike">
              <a:solidFill>
                <a:srgbClr val="000000"/>
              </a:solidFill>
              <a:latin typeface="Calibri"/>
            </a:rPr>
            <a:t>k,h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 ולוקטורים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V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, </a:t>
          </a:r>
          <a:r>
            <a:rPr lang="en-US" sz="1100" b="0" i="0" strike="noStrike" baseline="0">
              <a:solidFill>
                <a:srgbClr val="000000"/>
              </a:solidFill>
              <a:latin typeface="Calibri"/>
            </a:rPr>
            <a:t>Q</a:t>
          </a:r>
          <a:r>
            <a:rPr lang="he-IL" sz="1100" b="0" i="0" strike="noStrike" baseline="0">
              <a:solidFill>
                <a:srgbClr val="000000"/>
              </a:solidFill>
              <a:latin typeface="Calibri"/>
            </a:rPr>
            <a:t> </a:t>
          </a:r>
          <a:r>
            <a:rPr lang="he-IL" sz="1100" b="0" i="0" strike="noStrike">
              <a:solidFill>
                <a:srgbClr val="000000"/>
              </a:solidFill>
              <a:latin typeface="Calibri"/>
            </a:rPr>
            <a:t>יש שמות - ניתן להשתמש בהם.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672577</xdr:colOff>
      <xdr:row>16</xdr:row>
      <xdr:rowOff>5714</xdr:rowOff>
    </xdr:from>
    <xdr:to>
      <xdr:col>21</xdr:col>
      <xdr:colOff>381897</xdr:colOff>
      <xdr:row>33</xdr:row>
      <xdr:rowOff>134470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תיבת טקסט 1">
              <a:extLst>
                <a:ext uri="{FF2B5EF4-FFF2-40B4-BE49-F238E27FC236}">
                  <a16:creationId xmlns:a16="http://schemas.microsoft.com/office/drawing/2014/main" id="{4E434939-C700-41C3-A9BC-03290D52E6CB}"/>
                </a:ext>
              </a:extLst>
            </xdr:cNvPr>
            <xdr:cNvSpPr txBox="1"/>
          </xdr:nvSpPr>
          <xdr:spPr>
            <a:xfrm>
              <a:off x="7765901" y="3008890"/>
              <a:ext cx="7026761" cy="3199168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1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𝑀𝐼𝑁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𝑍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</m:t>
                        </m:r>
                      </m:sup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d>
                          <m:d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′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𝑍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∗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he-IL" sz="1100" b="0"/>
            </a:p>
            <a:p>
              <a:r>
                <a:rPr lang="he-IL" sz="1400"/>
                <a:t>			</a:t>
              </a:r>
              <a:r>
                <a:rPr lang="en-US" sz="1400"/>
                <a:t>s.t:</a:t>
              </a:r>
              <a:r>
                <a:rPr lang="en-US" sz="1400" baseline="0"/>
                <a:t>    </a:t>
              </a:r>
              <a:endParaRPr lang="he-IL" sz="1400" baseline="0"/>
            </a:p>
            <a:p>
              <a:pPr algn="ctr"/>
              <a:r>
                <a:rPr lang="en-US" sz="1400" baseline="0"/>
                <a:t>   1.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4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400" b="0" i="1" baseline="0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400" b="0" i="1" baseline="0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400" b="0" i="1" baseline="0">
                      <a:latin typeface="Cambria Math" panose="02040503050406030204" pitchFamily="18" charset="0"/>
                    </a:rPr>
                    <m:t>=</m:t>
                  </m:r>
                </m:oMath>
              </a14:m>
              <a:r>
                <a:rPr lang="en-US" sz="1400" b="0" i="1" baseline="0">
                  <a:latin typeface="Cambria Math" panose="02040503050406030204" pitchFamily="18" charset="0"/>
                </a:rPr>
                <a:t> 0</a:t>
              </a:r>
            </a:p>
            <a:p>
              <a:pPr algn="ctr"/>
              <a:r>
                <a:rPr lang="en-US" sz="1100" b="0"/>
                <a:t>      </a:t>
              </a:r>
              <a:r>
                <a:rPr lang="he-IL" sz="1100" b="0"/>
                <a:t> נוסחא</a:t>
              </a:r>
              <a:r>
                <a:rPr lang="en-US" sz="1100" b="0"/>
                <a:t>2.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𝑉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endParaRPr lang="en-US" sz="1100" b="0" i="1">
                <a:latin typeface="Cambria Math" panose="02040503050406030204" pitchFamily="18" charset="0"/>
              </a:endParaRPr>
            </a:p>
            <a:p>
              <a:pPr algn="ctr"/>
              <a:r>
                <a:rPr lang="he-IL" sz="1100" b="0"/>
                <a:t>נוסחא</a:t>
              </a:r>
              <a:r>
                <a:rPr lang="en-US" sz="1100" b="0"/>
                <a:t> 3.  </a:t>
              </a:r>
              <a14:m>
                <m:oMath xmlns:m="http://schemas.openxmlformats.org/officeDocument/2006/math">
                  <m:sSub>
                    <m:sSubPr>
                      <m:ctrlPr>
                        <a:rPr lang="he-IL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𝑞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∗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𝑞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endParaRPr lang="en-US" sz="1100" b="0" i="1">
                <a:latin typeface="Cambria Math" panose="02040503050406030204" pitchFamily="18" charset="0"/>
              </a:endParaRPr>
            </a:p>
            <a:p>
              <a:pPr algn="ctr"/>
              <a:r>
                <a:rPr lang="en-US" sz="1100" b="0"/>
                <a:t>  4.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 , 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 , 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3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{"/>
                      <m:endChr m:val="}"/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</a:rPr>
                    <m:t>  ,  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∀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𝑡</m:t>
                  </m:r>
                </m:oMath>
              </a14:m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  5.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∗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𝑀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≥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</m:t>
                  </m:r>
                </m:oMath>
              </a14:m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6.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∗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𝑀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≥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7.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≤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𝑍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3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𝑡</m:t>
                      </m:r>
                    </m:sub>
                  </m:sSub>
                </m:oMath>
              </a14:m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/>
                <a:t>  </a:t>
              </a:r>
              <a:r>
                <a:rPr lang="he-IL" sz="1100" b="0"/>
                <a:t>אילוץ</a:t>
              </a:r>
              <a:r>
                <a:rPr lang="en-US" sz="1100" b="0"/>
                <a:t>  8.</a:t>
              </a:r>
              <a:r>
                <a:rPr lang="en-US" sz="1100" b="0" baseline="0"/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𝑄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  , 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𝐼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, 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,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2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≥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   ∀</m:t>
                  </m:r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𝑡</m:t>
                  </m:r>
                </m:oMath>
              </a14:m>
              <a:endParaRPr lang="he-IL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he-I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אילוץ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r>
                <a:rPr lang="he-I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9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   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</m:t>
                  </m:r>
                  <m:sSub>
                    <m:sSubPr>
                      <m:ctrlP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  <m:r>
                        <a:rPr lang="en-US" sz="110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∈</m:t>
                  </m:r>
                  <m:r>
                    <a:rPr lang="en-US" sz="110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𝑁</m:t>
                  </m:r>
                </m:oMath>
              </a14:m>
              <a:endParaRPr lang="he-IL">
                <a:effectLst/>
              </a:endParaRPr>
            </a:p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he-IL" sz="1100"/>
            </a:p>
          </xdr:txBody>
        </xdr:sp>
      </mc:Choice>
      <mc:Fallback xmlns="">
        <xdr:sp macro="" textlink="">
          <xdr:nvSpPr>
            <xdr:cNvPr id="2" name="תיבת טקסט 1">
              <a:extLst>
                <a:ext uri="{FF2B5EF4-FFF2-40B4-BE49-F238E27FC236}">
                  <a16:creationId xmlns:a16="http://schemas.microsoft.com/office/drawing/2014/main" id="{4E434939-C700-41C3-A9BC-03290D52E6CB}"/>
                </a:ext>
              </a:extLst>
            </xdr:cNvPr>
            <xdr:cNvSpPr txBox="1"/>
          </xdr:nvSpPr>
          <xdr:spPr>
            <a:xfrm>
              <a:off x="7765901" y="3008890"/>
              <a:ext cx="7026761" cy="3199168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1" anchor="t"/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𝑀𝐼𝑁 𝑍=∑_(𝑡=1)^10▒〖ℎ∗𝐼_𝑡+𝐾_1∗𝑍_1𝑡+𝑘_2∗𝑍_2𝑡+(𝑘^′−𝑘1−𝑘2)∗𝑍_3𝑡+𝐵_1𝑡∗𝑞_1∗𝑐_1+𝐵_2𝑡∗𝑞_2∗𝑐_2  〗</a:t>
              </a:r>
              <a:endParaRPr lang="he-IL" sz="1100" b="0"/>
            </a:p>
            <a:p>
              <a:r>
                <a:rPr lang="he-IL" sz="1400"/>
                <a:t>			</a:t>
              </a:r>
              <a:r>
                <a:rPr lang="en-US" sz="1400"/>
                <a:t>s.t:</a:t>
              </a:r>
              <a:r>
                <a:rPr lang="en-US" sz="1400" baseline="0"/>
                <a:t>    </a:t>
              </a:r>
              <a:endParaRPr lang="he-IL" sz="1400" baseline="0"/>
            </a:p>
            <a:p>
              <a:pPr algn="ctr"/>
              <a:r>
                <a:rPr lang="en-US" sz="1400" baseline="0"/>
                <a:t>   1.    </a:t>
              </a:r>
              <a:r>
                <a:rPr lang="en-US" sz="1400" b="0" i="0" baseline="0">
                  <a:latin typeface="Cambria Math" panose="02040503050406030204" pitchFamily="18" charset="0"/>
                </a:rPr>
                <a:t>𝐼_0=</a:t>
              </a:r>
              <a:r>
                <a:rPr lang="en-US" sz="1400" b="0" i="1" baseline="0">
                  <a:latin typeface="Cambria Math" panose="02040503050406030204" pitchFamily="18" charset="0"/>
                </a:rPr>
                <a:t> 0</a:t>
              </a:r>
            </a:p>
            <a:p>
              <a:pPr algn="ctr"/>
              <a:r>
                <a:rPr lang="en-US" sz="1100" b="0"/>
                <a:t>      </a:t>
              </a:r>
              <a:r>
                <a:rPr lang="he-IL" sz="1100" b="0"/>
                <a:t> נוסחא</a:t>
              </a:r>
              <a:r>
                <a:rPr lang="en-US" sz="1100" b="0"/>
                <a:t>2. </a:t>
              </a:r>
              <a:r>
                <a:rPr lang="en-US" sz="1100" b="0" i="0">
                  <a:latin typeface="Cambria Math" panose="02040503050406030204" pitchFamily="18" charset="0"/>
                </a:rPr>
                <a:t>𝐼_𝑡=𝐼_(𝑡−1)+𝑄_𝑡−𝑉_𝑡</a:t>
              </a:r>
              <a:endParaRPr lang="en-US" sz="1100" b="0" i="1">
                <a:latin typeface="Cambria Math" panose="02040503050406030204" pitchFamily="18" charset="0"/>
              </a:endParaRPr>
            </a:p>
            <a:p>
              <a:pPr algn="ctr"/>
              <a:r>
                <a:rPr lang="he-IL" sz="1100" b="0"/>
                <a:t>נוסחא</a:t>
              </a:r>
              <a:r>
                <a:rPr lang="en-US" sz="1100" b="0"/>
                <a:t> 3.  </a:t>
              </a:r>
              <a:r>
                <a:rPr lang="en-US" sz="1100" b="0" i="0">
                  <a:latin typeface="Cambria Math" panose="02040503050406030204" pitchFamily="18" charset="0"/>
                </a:rPr>
                <a:t>𝑄</a:t>
              </a:r>
              <a:r>
                <a:rPr lang="he-IL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𝑡=𝐵_1𝑡∗𝑞_1+𝐵_2𝑡∗𝑞_2</a:t>
              </a:r>
              <a:endParaRPr lang="en-US" sz="1100" b="0" i="1">
                <a:latin typeface="Cambria Math" panose="02040503050406030204" pitchFamily="18" charset="0"/>
              </a:endParaRPr>
            </a:p>
            <a:p>
              <a:pPr algn="ctr"/>
              <a:r>
                <a:rPr lang="en-US" sz="1100" b="0"/>
                <a:t>  4.   </a:t>
              </a:r>
              <a:r>
                <a:rPr lang="en-US" sz="1100" b="0" i="0">
                  <a:latin typeface="Cambria Math" panose="02040503050406030204" pitchFamily="18" charset="0"/>
                </a:rPr>
                <a:t>𝑍_1𝑡  , 𝑍_2𝑡  , 𝑍_3𝑡={0,1}   ,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∀𝑡</a:t>
              </a:r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  5. 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𝑍_1𝑡∗𝑀≥𝐵_1𝑡  </a:t>
              </a:r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6.  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𝑍_2𝑡∗𝑀≥𝐵_2𝑡</a:t>
              </a:r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>
                  <a:ea typeface="Cambria Math" panose="02040503050406030204" pitchFamily="18" charset="0"/>
                </a:rPr>
                <a:t>IF 7.   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𝑍_1𝑡+𝑍_2𝑡≤1+𝑍_3𝑡</a:t>
              </a:r>
              <a:endParaRPr lang="en-US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algn="ctr"/>
              <a:r>
                <a:rPr lang="en-US" sz="1100" b="0"/>
                <a:t>  </a:t>
              </a:r>
              <a:r>
                <a:rPr lang="he-IL" sz="1100" b="0"/>
                <a:t>אילוץ</a:t>
              </a:r>
              <a:r>
                <a:rPr lang="en-US" sz="1100" b="0"/>
                <a:t>  8.</a:t>
              </a:r>
              <a:r>
                <a:rPr lang="en-US" sz="1100" b="0" baseline="0"/>
                <a:t>    </a:t>
              </a:r>
              <a:r>
                <a:rPr lang="en-US" sz="1100" b="0" i="0">
                  <a:latin typeface="Cambria Math" panose="02040503050406030204" pitchFamily="18" charset="0"/>
                </a:rPr>
                <a:t>𝑄_𝑡   , 𝐼_𝑡, 𝐵_1𝑡,𝐵_2𝑡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≥0   ∀𝑡</a:t>
              </a:r>
              <a:endParaRPr lang="he-IL" sz="1100" b="0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he-I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אילוץ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.</a:t>
              </a:r>
              <a:r>
                <a:rPr lang="he-IL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9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   𝐵〗_1𝑡,𝐵_2𝑡∈𝑁</a:t>
              </a:r>
              <a:endParaRPr lang="he-IL">
                <a:effectLst/>
              </a:endParaRPr>
            </a:p>
            <a:p>
              <a:pPr algn="ctr"/>
              <a:r>
                <a:rPr lang="en-US" sz="1100" b="0" i="0">
                  <a:latin typeface="Cambria Math" panose="02040503050406030204" pitchFamily="18" charset="0"/>
                </a:rPr>
                <a:t> </a:t>
              </a:r>
              <a:endParaRPr lang="he-IL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ערכת נושא של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6C9A4-F555-404D-9C6A-920AFBE85CD6}">
  <sheetPr codeName="גיליון1">
    <tabColor rgb="FFFFC000"/>
  </sheetPr>
  <dimension ref="A1:S38"/>
  <sheetViews>
    <sheetView showGridLines="0" tabSelected="1" zoomScale="90" zoomScaleNormal="90" workbookViewId="0">
      <selection activeCell="Q2" sqref="Q2"/>
    </sheetView>
  </sheetViews>
  <sheetFormatPr defaultRowHeight="14.25" x14ac:dyDescent="0.2"/>
  <cols>
    <col min="17" max="17" width="15.125" customWidth="1"/>
  </cols>
  <sheetData>
    <row r="1" spans="1:17" ht="15.75" thickBot="1" x14ac:dyDescent="0.25">
      <c r="A1" s="1" t="s">
        <v>0</v>
      </c>
      <c r="B1" s="2"/>
      <c r="C1" s="2"/>
      <c r="D1" s="2"/>
      <c r="E1" s="2"/>
      <c r="F1" s="2"/>
      <c r="G1" s="2"/>
      <c r="P1" s="20" t="s">
        <v>47</v>
      </c>
      <c r="Q1" s="52"/>
    </row>
    <row r="2" spans="1:17" ht="15.75" thickBot="1" x14ac:dyDescent="0.25">
      <c r="A2" s="31" t="s">
        <v>1</v>
      </c>
      <c r="B2" s="14" t="s">
        <v>2</v>
      </c>
      <c r="C2" s="3" t="s">
        <v>3</v>
      </c>
      <c r="D2" s="3" t="s">
        <v>4</v>
      </c>
      <c r="E2" s="3" t="s">
        <v>5</v>
      </c>
      <c r="F2" s="3" t="s">
        <v>24</v>
      </c>
      <c r="G2" s="3" t="s">
        <v>90</v>
      </c>
      <c r="H2" s="4" t="s">
        <v>6</v>
      </c>
      <c r="P2" s="21" t="s">
        <v>48</v>
      </c>
      <c r="Q2" s="52"/>
    </row>
    <row r="3" spans="1:17" ht="15" x14ac:dyDescent="0.2">
      <c r="A3" s="5" t="s">
        <v>7</v>
      </c>
      <c r="B3" s="50"/>
      <c r="C3" s="6"/>
      <c r="D3" s="6"/>
      <c r="E3" s="6"/>
      <c r="F3" s="6"/>
      <c r="G3" s="6"/>
      <c r="H3" s="103"/>
    </row>
    <row r="4" spans="1:17" ht="15" x14ac:dyDescent="0.2">
      <c r="A4" s="32" t="s">
        <v>8</v>
      </c>
      <c r="B4" s="15"/>
      <c r="C4" s="8"/>
      <c r="D4" s="8"/>
      <c r="E4" s="8"/>
      <c r="F4" s="8"/>
      <c r="G4" s="8"/>
      <c r="H4" s="101"/>
    </row>
    <row r="5" spans="1:17" ht="15" x14ac:dyDescent="0.2">
      <c r="A5" s="32" t="s">
        <v>9</v>
      </c>
      <c r="B5" s="15"/>
      <c r="C5" s="8"/>
      <c r="D5" s="8"/>
      <c r="E5" s="8"/>
      <c r="F5" s="8"/>
      <c r="G5" s="8"/>
      <c r="H5" s="101"/>
    </row>
    <row r="6" spans="1:17" ht="15" x14ac:dyDescent="0.2">
      <c r="A6" s="32" t="s">
        <v>10</v>
      </c>
      <c r="B6" s="15"/>
      <c r="C6" s="8"/>
      <c r="D6" s="8"/>
      <c r="E6" s="8"/>
      <c r="F6" s="8"/>
      <c r="G6" s="8"/>
      <c r="H6" s="101"/>
    </row>
    <row r="7" spans="1:17" ht="15.75" thickBot="1" x14ac:dyDescent="0.25">
      <c r="A7" s="33" t="s">
        <v>11</v>
      </c>
      <c r="B7" s="16"/>
      <c r="C7" s="9"/>
      <c r="D7" s="9"/>
      <c r="E7" s="9"/>
      <c r="F7" s="9"/>
      <c r="G7" s="9"/>
      <c r="H7" s="102"/>
    </row>
    <row r="8" spans="1:17" ht="15" x14ac:dyDescent="0.2">
      <c r="A8" s="89"/>
      <c r="B8" s="90"/>
      <c r="C8" s="90">
        <v>0</v>
      </c>
      <c r="D8" s="90"/>
      <c r="E8" s="90">
        <v>0</v>
      </c>
      <c r="F8" s="90"/>
      <c r="G8" s="90"/>
    </row>
    <row r="9" spans="1:17" ht="15.75" thickBot="1" x14ac:dyDescent="0.25">
      <c r="A9" s="1" t="s">
        <v>18</v>
      </c>
      <c r="C9">
        <v>0</v>
      </c>
      <c r="E9">
        <v>0</v>
      </c>
    </row>
    <row r="10" spans="1:17" ht="15.75" thickBot="1" x14ac:dyDescent="0.25">
      <c r="A10" s="108" t="s">
        <v>1</v>
      </c>
      <c r="B10" s="109"/>
      <c r="C10" s="14" t="s">
        <v>3</v>
      </c>
      <c r="D10" s="3" t="s">
        <v>4</v>
      </c>
      <c r="E10" s="3" t="s">
        <v>5</v>
      </c>
      <c r="F10" s="3" t="s">
        <v>6</v>
      </c>
      <c r="G10" s="3" t="s">
        <v>19</v>
      </c>
      <c r="H10" s="88" t="s">
        <v>20</v>
      </c>
      <c r="I10" s="88" t="s">
        <v>14</v>
      </c>
      <c r="J10" s="88" t="s">
        <v>15</v>
      </c>
      <c r="K10" s="88" t="s">
        <v>21</v>
      </c>
      <c r="L10" s="88" t="s">
        <v>22</v>
      </c>
      <c r="M10" s="4" t="s">
        <v>23</v>
      </c>
    </row>
    <row r="11" spans="1:17" ht="15" x14ac:dyDescent="0.25">
      <c r="A11" s="110" t="s">
        <v>12</v>
      </c>
      <c r="B11" s="111"/>
      <c r="C11" s="96"/>
      <c r="D11" s="97"/>
      <c r="E11" s="97"/>
      <c r="F11" s="97"/>
      <c r="G11" s="97"/>
      <c r="H11" s="97"/>
      <c r="I11" s="97"/>
      <c r="J11" s="97"/>
      <c r="K11" s="97"/>
      <c r="L11" s="97"/>
      <c r="M11" s="98"/>
    </row>
    <row r="12" spans="1:17" ht="15" x14ac:dyDescent="0.2">
      <c r="A12" s="112" t="s">
        <v>13</v>
      </c>
      <c r="B12" s="113"/>
      <c r="C12" s="15"/>
      <c r="D12" s="8"/>
      <c r="E12" s="8"/>
      <c r="F12" s="8"/>
      <c r="G12" s="8"/>
      <c r="H12" s="8"/>
      <c r="I12" s="8"/>
      <c r="J12" s="8"/>
      <c r="K12" s="8"/>
      <c r="L12" s="25"/>
      <c r="M12" s="26"/>
    </row>
    <row r="13" spans="1:17" ht="15" x14ac:dyDescent="0.2">
      <c r="A13" s="112" t="s">
        <v>16</v>
      </c>
      <c r="B13" s="113"/>
      <c r="C13" s="15"/>
      <c r="D13" s="8"/>
      <c r="E13" s="8"/>
      <c r="F13" s="8"/>
      <c r="G13" s="8"/>
      <c r="H13" s="8"/>
      <c r="I13" s="8"/>
      <c r="J13" s="8"/>
      <c r="K13" s="8"/>
      <c r="L13" s="25"/>
      <c r="M13" s="26"/>
    </row>
    <row r="14" spans="1:17" ht="15.75" thickBot="1" x14ac:dyDescent="0.25">
      <c r="A14" s="114" t="s">
        <v>17</v>
      </c>
      <c r="B14" s="115"/>
      <c r="C14" s="16"/>
      <c r="D14" s="9"/>
      <c r="E14" s="9"/>
      <c r="F14" s="9"/>
      <c r="G14" s="9"/>
      <c r="H14" s="9"/>
      <c r="I14" s="9"/>
      <c r="J14" s="9"/>
      <c r="K14" s="9"/>
      <c r="L14" s="99"/>
      <c r="M14" s="100"/>
    </row>
    <row r="16" spans="1:17" ht="15.75" thickBot="1" x14ac:dyDescent="0.3">
      <c r="A16" s="17" t="s">
        <v>25</v>
      </c>
      <c r="B16" s="2"/>
      <c r="C16" s="91"/>
      <c r="D16" s="2"/>
      <c r="E16" s="2"/>
      <c r="F16" s="2"/>
      <c r="G16" s="2"/>
      <c r="H16" s="2"/>
      <c r="I16" s="2"/>
      <c r="J16" s="2"/>
      <c r="K16" s="2"/>
    </row>
    <row r="17" spans="1:19" ht="15.75" thickBot="1" x14ac:dyDescent="0.25">
      <c r="A17" s="31" t="s">
        <v>1</v>
      </c>
      <c r="B17" s="3" t="s">
        <v>26</v>
      </c>
      <c r="C17" s="3" t="s">
        <v>27</v>
      </c>
      <c r="D17" s="3" t="s">
        <v>28</v>
      </c>
      <c r="E17" s="3" t="s">
        <v>29</v>
      </c>
      <c r="F17" s="3" t="s">
        <v>30</v>
      </c>
      <c r="G17" s="3" t="s">
        <v>31</v>
      </c>
      <c r="H17" s="3" t="s">
        <v>32</v>
      </c>
      <c r="I17" s="3" t="s">
        <v>33</v>
      </c>
      <c r="J17" s="3" t="s">
        <v>34</v>
      </c>
      <c r="K17" s="4" t="s">
        <v>35</v>
      </c>
    </row>
    <row r="18" spans="1:19" ht="15" x14ac:dyDescent="0.2">
      <c r="A18" s="5" t="s">
        <v>7</v>
      </c>
      <c r="B18" s="6"/>
      <c r="C18" s="6"/>
      <c r="D18" s="6"/>
      <c r="E18" s="6"/>
      <c r="F18" s="6"/>
      <c r="G18" s="6"/>
      <c r="H18" s="6"/>
      <c r="I18" s="6"/>
      <c r="J18" s="6"/>
      <c r="K18" s="7"/>
      <c r="P18" t="s">
        <v>94</v>
      </c>
      <c r="S18" t="s">
        <v>95</v>
      </c>
    </row>
    <row r="19" spans="1:19" ht="15" x14ac:dyDescent="0.2">
      <c r="A19" s="32" t="s">
        <v>8</v>
      </c>
      <c r="B19" s="8"/>
      <c r="C19" s="8"/>
      <c r="D19" s="8"/>
      <c r="E19" s="8"/>
      <c r="F19" s="8"/>
      <c r="G19" s="8"/>
      <c r="H19" s="18"/>
      <c r="I19" s="18"/>
      <c r="J19" s="6"/>
      <c r="K19" s="7"/>
    </row>
    <row r="20" spans="1:19" ht="15" x14ac:dyDescent="0.2">
      <c r="A20" s="32" t="s">
        <v>9</v>
      </c>
      <c r="B20" s="8"/>
      <c r="C20" s="8"/>
      <c r="D20" s="8"/>
      <c r="E20" s="8"/>
      <c r="F20" s="8"/>
      <c r="G20" s="8"/>
      <c r="H20" s="18"/>
      <c r="I20" s="18"/>
      <c r="J20" s="6"/>
      <c r="K20" s="7"/>
    </row>
    <row r="21" spans="1:19" ht="15" x14ac:dyDescent="0.2">
      <c r="A21" s="32" t="s">
        <v>10</v>
      </c>
      <c r="B21" s="8"/>
      <c r="C21" s="8"/>
      <c r="D21" s="8"/>
      <c r="E21" s="8"/>
      <c r="F21" s="8"/>
      <c r="G21" s="8"/>
      <c r="H21" s="18"/>
      <c r="I21" s="18"/>
      <c r="J21" s="6"/>
      <c r="K21" s="7"/>
    </row>
    <row r="22" spans="1:19" ht="15" x14ac:dyDescent="0.2">
      <c r="A22" s="32" t="s">
        <v>11</v>
      </c>
      <c r="B22" s="8"/>
      <c r="C22" s="8"/>
      <c r="D22" s="8"/>
      <c r="E22" s="8"/>
      <c r="F22" s="8"/>
      <c r="G22" s="6"/>
      <c r="H22" s="6"/>
      <c r="I22" s="6"/>
      <c r="J22" s="6"/>
      <c r="K22" s="7"/>
    </row>
    <row r="23" spans="1:19" ht="15" x14ac:dyDescent="0.2">
      <c r="A23" s="32" t="s">
        <v>12</v>
      </c>
      <c r="B23" s="8"/>
      <c r="C23" s="8"/>
      <c r="D23" s="8"/>
      <c r="E23" s="8"/>
      <c r="F23" s="8"/>
      <c r="G23" s="6"/>
      <c r="H23" s="6"/>
      <c r="I23" s="6"/>
      <c r="J23" s="6"/>
      <c r="K23" s="7"/>
    </row>
    <row r="24" spans="1:19" ht="15" x14ac:dyDescent="0.2">
      <c r="A24" s="32" t="s">
        <v>13</v>
      </c>
      <c r="B24" s="8"/>
      <c r="C24" s="8"/>
      <c r="D24" s="8"/>
      <c r="E24" s="8"/>
      <c r="F24" s="8"/>
      <c r="G24" s="6"/>
      <c r="H24" s="6"/>
      <c r="I24" s="6"/>
      <c r="J24" s="6"/>
      <c r="K24" s="7"/>
    </row>
    <row r="25" spans="1:19" ht="15" x14ac:dyDescent="0.2">
      <c r="A25" s="32" t="s">
        <v>16</v>
      </c>
      <c r="B25" s="8"/>
      <c r="C25" s="8"/>
      <c r="D25" s="8"/>
      <c r="E25" s="8"/>
      <c r="F25" s="8"/>
      <c r="G25" s="6"/>
      <c r="H25" s="6"/>
      <c r="I25" s="6"/>
      <c r="J25" s="6"/>
      <c r="K25" s="7"/>
    </row>
    <row r="26" spans="1:19" ht="15.75" thickBot="1" x14ac:dyDescent="0.25">
      <c r="A26" s="33" t="s">
        <v>17</v>
      </c>
      <c r="B26" s="9"/>
      <c r="C26" s="9"/>
      <c r="D26" s="9"/>
      <c r="E26" s="9"/>
      <c r="F26" s="9"/>
      <c r="G26" s="12"/>
      <c r="H26" s="12"/>
      <c r="I26" s="12"/>
      <c r="J26" s="12"/>
      <c r="K26" s="13"/>
    </row>
    <row r="28" spans="1:19" ht="15.75" thickBot="1" x14ac:dyDescent="0.3">
      <c r="A28" s="17" t="s">
        <v>36</v>
      </c>
      <c r="B28" s="2"/>
      <c r="C28" s="91"/>
      <c r="D28" s="2"/>
      <c r="E28" s="2"/>
      <c r="F28" s="2"/>
      <c r="G28" s="2"/>
      <c r="H28" s="2"/>
      <c r="I28" s="2"/>
      <c r="J28" s="2"/>
      <c r="K28" s="2"/>
    </row>
    <row r="29" spans="1:19" ht="15.75" thickBot="1" x14ac:dyDescent="0.25">
      <c r="A29" s="31" t="s">
        <v>1</v>
      </c>
      <c r="B29" s="3" t="s">
        <v>37</v>
      </c>
      <c r="C29" s="3" t="s">
        <v>38</v>
      </c>
      <c r="D29" s="3" t="s">
        <v>39</v>
      </c>
      <c r="E29" s="3" t="s">
        <v>40</v>
      </c>
      <c r="F29" s="3" t="s">
        <v>41</v>
      </c>
      <c r="G29" s="3" t="s">
        <v>42</v>
      </c>
      <c r="H29" s="3" t="s">
        <v>43</v>
      </c>
      <c r="I29" s="3" t="s">
        <v>44</v>
      </c>
      <c r="J29" s="3" t="s">
        <v>45</v>
      </c>
      <c r="K29" s="4" t="s">
        <v>46</v>
      </c>
    </row>
    <row r="30" spans="1:19" ht="15" x14ac:dyDescent="0.2">
      <c r="A30" s="5" t="s">
        <v>7</v>
      </c>
      <c r="B30" s="6"/>
      <c r="C30" s="6"/>
      <c r="D30" s="6"/>
      <c r="E30" s="6"/>
      <c r="F30" s="6"/>
      <c r="G30" s="6"/>
      <c r="H30" s="92"/>
      <c r="I30" s="92"/>
      <c r="J30" s="92"/>
      <c r="K30" s="93"/>
    </row>
    <row r="31" spans="1:19" ht="15" x14ac:dyDescent="0.2">
      <c r="A31" s="32" t="s">
        <v>8</v>
      </c>
      <c r="B31" s="8"/>
      <c r="C31" s="8"/>
      <c r="D31" s="8"/>
      <c r="E31" s="8"/>
      <c r="F31" s="8"/>
      <c r="G31" s="8"/>
      <c r="H31" s="18"/>
      <c r="I31" s="18"/>
      <c r="J31" s="18"/>
      <c r="K31" s="19"/>
    </row>
    <row r="32" spans="1:19" ht="15" x14ac:dyDescent="0.2">
      <c r="A32" s="32" t="s">
        <v>9</v>
      </c>
      <c r="B32" s="8"/>
      <c r="C32" s="8"/>
      <c r="D32" s="8"/>
      <c r="E32" s="8"/>
      <c r="F32" s="8"/>
      <c r="G32" s="8"/>
      <c r="H32" s="18"/>
      <c r="I32" s="18"/>
      <c r="J32" s="18"/>
      <c r="K32" s="19"/>
    </row>
    <row r="33" spans="1:11" ht="15" x14ac:dyDescent="0.2">
      <c r="A33" s="32" t="s">
        <v>10</v>
      </c>
      <c r="B33" s="8"/>
      <c r="C33" s="8"/>
      <c r="D33" s="8"/>
      <c r="E33" s="8"/>
      <c r="F33" s="8"/>
      <c r="G33" s="8"/>
      <c r="H33" s="18"/>
      <c r="I33" s="18"/>
      <c r="J33" s="18"/>
      <c r="K33" s="19"/>
    </row>
    <row r="34" spans="1:11" ht="15" x14ac:dyDescent="0.2">
      <c r="A34" s="32" t="s">
        <v>11</v>
      </c>
      <c r="B34" s="8"/>
      <c r="C34" s="8"/>
      <c r="D34" s="8"/>
      <c r="E34" s="18"/>
      <c r="F34" s="18"/>
      <c r="G34" s="18"/>
      <c r="H34" s="18"/>
      <c r="I34" s="18"/>
      <c r="J34" s="18"/>
      <c r="K34" s="19"/>
    </row>
    <row r="35" spans="1:11" ht="15" x14ac:dyDescent="0.2">
      <c r="A35" s="32" t="s">
        <v>12</v>
      </c>
      <c r="B35" s="8"/>
      <c r="C35" s="8"/>
      <c r="D35" s="8"/>
      <c r="E35" s="18"/>
      <c r="F35" s="18"/>
      <c r="G35" s="18"/>
      <c r="H35" s="18"/>
      <c r="I35" s="18"/>
      <c r="J35" s="18"/>
      <c r="K35" s="19"/>
    </row>
    <row r="36" spans="1:11" ht="15" x14ac:dyDescent="0.2">
      <c r="A36" s="32" t="s">
        <v>13</v>
      </c>
      <c r="B36" s="8"/>
      <c r="C36" s="8"/>
      <c r="D36" s="8"/>
      <c r="E36" s="8"/>
      <c r="F36" s="18"/>
      <c r="G36" s="18"/>
      <c r="H36" s="18"/>
      <c r="I36" s="18"/>
      <c r="J36" s="18"/>
      <c r="K36" s="19"/>
    </row>
    <row r="37" spans="1:11" ht="15" x14ac:dyDescent="0.2">
      <c r="A37" s="32" t="s">
        <v>16</v>
      </c>
      <c r="B37" s="8"/>
      <c r="C37" s="8"/>
      <c r="D37" s="8"/>
      <c r="E37" s="18"/>
      <c r="F37" s="18"/>
      <c r="G37" s="18"/>
      <c r="H37" s="18"/>
      <c r="I37" s="18"/>
      <c r="J37" s="18"/>
      <c r="K37" s="19"/>
    </row>
    <row r="38" spans="1:11" ht="15.75" thickBot="1" x14ac:dyDescent="0.25">
      <c r="A38" s="33" t="s">
        <v>17</v>
      </c>
      <c r="B38" s="9"/>
      <c r="C38" s="9"/>
      <c r="D38" s="9"/>
      <c r="E38" s="94"/>
      <c r="F38" s="94"/>
      <c r="G38" s="94"/>
      <c r="H38" s="94"/>
      <c r="I38" s="94"/>
      <c r="J38" s="94"/>
      <c r="K38" s="95"/>
    </row>
  </sheetData>
  <mergeCells count="5">
    <mergeCell ref="A10:B10"/>
    <mergeCell ref="A11:B11"/>
    <mergeCell ref="A12:B12"/>
    <mergeCell ref="A13:B13"/>
    <mergeCell ref="A14:B14"/>
  </mergeCells>
  <conditionalFormatting sqref="Q1:Q2">
    <cfRule type="expression" dxfId="91" priority="51">
      <formula>INDEX(Name,$A1)=""</formula>
    </cfRule>
  </conditionalFormatting>
  <conditionalFormatting sqref="B8:G8">
    <cfRule type="expression" dxfId="90" priority="37">
      <formula>INDEX(Name,$A8)=""</formula>
    </cfRule>
  </conditionalFormatting>
  <conditionalFormatting sqref="A10 C10:F10 A2:H2">
    <cfRule type="expression" dxfId="89" priority="36">
      <formula>CELL("protect",A2)=0</formula>
    </cfRule>
  </conditionalFormatting>
  <conditionalFormatting sqref="H10 J10:M10">
    <cfRule type="expression" dxfId="88" priority="35">
      <formula>CELL("protect",H10)=0</formula>
    </cfRule>
  </conditionalFormatting>
  <conditionalFormatting sqref="I10">
    <cfRule type="expression" dxfId="87" priority="34">
      <formula>CELL("protect",I10)=0</formula>
    </cfRule>
  </conditionalFormatting>
  <conditionalFormatting sqref="G10">
    <cfRule type="expression" dxfId="86" priority="33">
      <formula>CELL("protect",G10)=0</formula>
    </cfRule>
  </conditionalFormatting>
  <conditionalFormatting sqref="A17">
    <cfRule type="expression" dxfId="85" priority="31">
      <formula>CELL("protect",A17)=0</formula>
    </cfRule>
  </conditionalFormatting>
  <conditionalFormatting sqref="C16">
    <cfRule type="expression" dxfId="84" priority="32">
      <formula>SUM(L1048573:L1048573)&gt;0</formula>
    </cfRule>
  </conditionalFormatting>
  <conditionalFormatting sqref="B17:K17">
    <cfRule type="expression" dxfId="83" priority="30">
      <formula>CELL("protect",B17)=0</formula>
    </cfRule>
  </conditionalFormatting>
  <conditionalFormatting sqref="A29">
    <cfRule type="expression" dxfId="82" priority="28">
      <formula>CELL("protect",A29)=0</formula>
    </cfRule>
  </conditionalFormatting>
  <conditionalFormatting sqref="B29:K29">
    <cfRule type="expression" dxfId="81" priority="27">
      <formula>CELL("protect",B29)=0</formula>
    </cfRule>
  </conditionalFormatting>
  <conditionalFormatting sqref="C28">
    <cfRule type="expression" dxfId="80" priority="29">
      <formula>SUM(L18:L27)&gt;0</formula>
    </cfRule>
  </conditionalFormatting>
  <conditionalFormatting sqref="B3:G7">
    <cfRule type="expression" dxfId="79" priority="5">
      <formula>INDEX(Name,$A3)=""</formula>
    </cfRule>
  </conditionalFormatting>
  <conditionalFormatting sqref="D12:K14">
    <cfRule type="expression" dxfId="78" priority="3">
      <formula>INDEX(Name,$A12)=""</formula>
    </cfRule>
  </conditionalFormatting>
  <conditionalFormatting sqref="E12:F14">
    <cfRule type="expression" dxfId="77" priority="4">
      <formula>AND(OR($D12="FP",$D12="FQ"),$E12="")</formula>
    </cfRule>
  </conditionalFormatting>
  <conditionalFormatting sqref="B18:K26">
    <cfRule type="expression" dxfId="76" priority="2">
      <formula>INDEX(Name,$A18)=""</formula>
    </cfRule>
  </conditionalFormatting>
  <conditionalFormatting sqref="B30:K38">
    <cfRule type="expression" dxfId="75" priority="1">
      <formula>INDEX(Name,$A30)=""</formula>
    </cfRule>
  </conditionalFormatting>
  <dataValidations count="4">
    <dataValidation type="list" allowBlank="1" showInputMessage="1" showErrorMessage="1" errorTitle="Try again" error="Choose from the list" sqref="B3:B8" xr:uid="{6DAD1586-8E36-415B-A268-27CD78CDAC22}">
      <formula1>"LFL, FP, SM, WW"</formula1>
    </dataValidation>
    <dataValidation type="decimal" operator="greaterThanOrEqual" allowBlank="1" showInputMessage="1" showErrorMessage="1" errorTitle="Values" error="Input must be greater than or equal zero" sqref="F3:G8 K12:K14" xr:uid="{8872E9F2-8B11-47D7-9900-1D4034E6D93B}">
      <formula1>0</formula1>
    </dataValidation>
    <dataValidation type="whole" operator="greaterThanOrEqual" allowBlank="1" showInputMessage="1" showErrorMessage="1" errorTitle="Values" error="Input must be integer greater than or equal zero" sqref="C3:E8 B18:K26 J12:J14 B30:K38" xr:uid="{B828D825-52FC-4FA1-9F9E-6403729C997D}">
      <formula1>0</formula1>
    </dataValidation>
    <dataValidation type="whole" operator="greaterThanOrEqual" allowBlank="1" showInputMessage="1" showErrorMessage="1" error="Input must be integer greater than or equal zero" sqref="C12:H14" xr:uid="{FA13F2DF-15E9-4C9A-AD7E-08F01222C0B2}">
      <formula1>0</formula1>
    </dataValidation>
  </dataValidations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CEFF7-0979-4287-AC05-773ACAA35A02}">
  <sheetPr codeName="גיליון2">
    <tabColor rgb="FF00B050"/>
  </sheetPr>
  <dimension ref="A1:K11"/>
  <sheetViews>
    <sheetView showGridLines="0" zoomScale="150" zoomScaleNormal="150" workbookViewId="0">
      <selection activeCell="B11" sqref="B3:K11"/>
    </sheetView>
  </sheetViews>
  <sheetFormatPr defaultRowHeight="14.25" x14ac:dyDescent="0.2"/>
  <sheetData>
    <row r="1" spans="1:11" ht="15.75" thickBot="1" x14ac:dyDescent="0.3">
      <c r="A1" s="17" t="s">
        <v>96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15.75" thickBot="1" x14ac:dyDescent="0.25">
      <c r="A2" s="31" t="s">
        <v>79</v>
      </c>
      <c r="B2" s="3" t="s">
        <v>80</v>
      </c>
      <c r="C2" s="3" t="s">
        <v>81</v>
      </c>
      <c r="D2" s="3" t="s">
        <v>82</v>
      </c>
      <c r="E2" s="3" t="s">
        <v>83</v>
      </c>
      <c r="F2" s="3" t="s">
        <v>84</v>
      </c>
      <c r="G2" s="3" t="s">
        <v>85</v>
      </c>
      <c r="H2" s="3" t="s">
        <v>86</v>
      </c>
      <c r="I2" s="3" t="s">
        <v>87</v>
      </c>
      <c r="J2" s="3" t="s">
        <v>88</v>
      </c>
      <c r="K2" s="4" t="s">
        <v>89</v>
      </c>
    </row>
    <row r="3" spans="1:11" ht="15" x14ac:dyDescent="0.2">
      <c r="A3" s="5" t="s">
        <v>7</v>
      </c>
      <c r="B3" s="64"/>
      <c r="C3" s="64"/>
      <c r="D3" s="64"/>
      <c r="E3" s="64"/>
      <c r="F3" s="64"/>
      <c r="G3" s="64"/>
      <c r="H3" s="64"/>
      <c r="I3" s="64"/>
      <c r="J3" s="64"/>
      <c r="K3" s="64"/>
    </row>
    <row r="4" spans="1:11" ht="15" x14ac:dyDescent="0.2">
      <c r="A4" s="32" t="s">
        <v>8</v>
      </c>
      <c r="B4" s="65"/>
      <c r="C4" s="65"/>
      <c r="D4" s="65"/>
      <c r="E4" s="65"/>
      <c r="F4" s="65"/>
      <c r="G4" s="65"/>
      <c r="H4" s="65"/>
      <c r="I4" s="65"/>
      <c r="J4" s="65"/>
      <c r="K4" s="65"/>
    </row>
    <row r="5" spans="1:11" ht="15" x14ac:dyDescent="0.2">
      <c r="A5" s="32" t="s">
        <v>9</v>
      </c>
      <c r="B5" s="65"/>
      <c r="C5" s="65"/>
      <c r="D5" s="65"/>
      <c r="E5" s="65"/>
      <c r="F5" s="65"/>
      <c r="G5" s="65"/>
      <c r="H5" s="65"/>
      <c r="I5" s="65"/>
      <c r="J5" s="65"/>
      <c r="K5" s="65"/>
    </row>
    <row r="6" spans="1:11" ht="15" x14ac:dyDescent="0.2">
      <c r="A6" s="32" t="s">
        <v>10</v>
      </c>
      <c r="B6" s="65"/>
      <c r="C6" s="65"/>
      <c r="D6" s="65"/>
      <c r="E6" s="65"/>
      <c r="F6" s="65"/>
      <c r="G6" s="65"/>
      <c r="H6" s="65"/>
      <c r="I6" s="65"/>
      <c r="J6" s="65"/>
      <c r="K6" s="65"/>
    </row>
    <row r="7" spans="1:11" ht="15" x14ac:dyDescent="0.2">
      <c r="A7" s="32" t="s">
        <v>11</v>
      </c>
      <c r="B7" s="65"/>
      <c r="C7" s="65"/>
      <c r="D7" s="65"/>
      <c r="E7" s="65"/>
      <c r="F7" s="65"/>
      <c r="G7" s="65"/>
      <c r="H7" s="65"/>
      <c r="I7" s="65"/>
      <c r="J7" s="65"/>
      <c r="K7" s="65"/>
    </row>
    <row r="8" spans="1:11" ht="15" x14ac:dyDescent="0.2">
      <c r="A8" s="32" t="s">
        <v>12</v>
      </c>
      <c r="B8" s="65"/>
      <c r="C8" s="65"/>
      <c r="D8" s="65"/>
      <c r="E8" s="65"/>
      <c r="F8" s="65"/>
      <c r="G8" s="65"/>
      <c r="H8" s="65"/>
      <c r="I8" s="65"/>
      <c r="J8" s="65"/>
      <c r="K8" s="65"/>
    </row>
    <row r="9" spans="1:11" ht="15" x14ac:dyDescent="0.2">
      <c r="A9" s="32" t="s">
        <v>13</v>
      </c>
      <c r="B9" s="65"/>
      <c r="C9" s="65"/>
      <c r="D9" s="65"/>
      <c r="E9" s="65"/>
      <c r="F9" s="65"/>
      <c r="G9" s="65"/>
      <c r="H9" s="65"/>
      <c r="I9" s="65"/>
      <c r="J9" s="65"/>
      <c r="K9" s="65"/>
    </row>
    <row r="10" spans="1:11" ht="15" x14ac:dyDescent="0.2">
      <c r="A10" s="32" t="s">
        <v>16</v>
      </c>
      <c r="B10" s="65"/>
      <c r="C10" s="65"/>
      <c r="D10" s="65"/>
      <c r="E10" s="65"/>
      <c r="F10" s="65"/>
      <c r="G10" s="65"/>
      <c r="H10" s="65"/>
      <c r="I10" s="65"/>
      <c r="J10" s="65"/>
      <c r="K10" s="65"/>
    </row>
    <row r="11" spans="1:11" ht="15.75" thickBot="1" x14ac:dyDescent="0.25">
      <c r="A11" s="33" t="s">
        <v>17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</row>
  </sheetData>
  <conditionalFormatting sqref="B3:J10">
    <cfRule type="expression" dxfId="74" priority="6">
      <formula>INDEX(Name,$A3)=""</formula>
    </cfRule>
  </conditionalFormatting>
  <conditionalFormatting sqref="B11">
    <cfRule type="expression" dxfId="73" priority="5">
      <formula>INDEX(Name,$A11)=""</formula>
    </cfRule>
  </conditionalFormatting>
  <conditionalFormatting sqref="C11:J11">
    <cfRule type="expression" dxfId="72" priority="4">
      <formula>INDEX(Name,$A11)=""</formula>
    </cfRule>
  </conditionalFormatting>
  <conditionalFormatting sqref="K11">
    <cfRule type="expression" dxfId="71" priority="3">
      <formula>INDEX(Name,$A11)=""</formula>
    </cfRule>
  </conditionalFormatting>
  <conditionalFormatting sqref="K3">
    <cfRule type="expression" dxfId="70" priority="2">
      <formula>INDEX(Name,$A3)=""</formula>
    </cfRule>
  </conditionalFormatting>
  <conditionalFormatting sqref="K4:K10">
    <cfRule type="expression" dxfId="69" priority="1">
      <formula>INDEX(Name,$A4)=""</formula>
    </cfRule>
  </conditionalFormatting>
  <pageMargins left="0.7" right="0.7" top="0.75" bottom="0.75" header="0.3" footer="0.3"/>
  <drawing r:id="rId1"/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282A-2B17-4BD5-ADB0-DAC2EC08CAE0}">
  <sheetPr codeName="גיליון3">
    <tabColor theme="5" tint="-0.249977111117893"/>
  </sheetPr>
  <dimension ref="A1:K13"/>
  <sheetViews>
    <sheetView showGridLines="0" zoomScaleNormal="100" workbookViewId="0">
      <selection activeCell="D3" sqref="D3:J3"/>
    </sheetView>
  </sheetViews>
  <sheetFormatPr defaultRowHeight="14.25" x14ac:dyDescent="0.2"/>
  <sheetData>
    <row r="1" spans="1:11" ht="15.75" thickBot="1" x14ac:dyDescent="0.25">
      <c r="A1" s="1" t="s">
        <v>49</v>
      </c>
    </row>
    <row r="2" spans="1:11" ht="15.75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5.75" thickBot="1" x14ac:dyDescent="0.3">
      <c r="A3" s="23" t="s">
        <v>7</v>
      </c>
      <c r="B3" s="24" t="s">
        <v>50</v>
      </c>
      <c r="D3" s="53"/>
      <c r="E3" s="54"/>
      <c r="F3" s="54"/>
      <c r="G3" s="54"/>
      <c r="H3" s="54"/>
      <c r="I3" s="54"/>
      <c r="J3" s="55"/>
    </row>
    <row r="4" spans="1:11" ht="15" thickBot="1" x14ac:dyDescent="0.25"/>
    <row r="5" spans="1:11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28.5" x14ac:dyDescent="0.2">
      <c r="A6" s="28" t="s">
        <v>52</v>
      </c>
      <c r="B6" s="6"/>
      <c r="C6" s="6"/>
      <c r="D6" s="6"/>
      <c r="E6" s="6"/>
      <c r="F6" s="6"/>
      <c r="G6" s="6"/>
      <c r="H6" s="6"/>
      <c r="I6" s="6"/>
      <c r="J6" s="6"/>
      <c r="K6" s="7"/>
    </row>
    <row r="7" spans="1:11" x14ac:dyDescent="0.2">
      <c r="A7" s="29" t="s">
        <v>53</v>
      </c>
      <c r="B7" s="15"/>
      <c r="C7" s="6"/>
      <c r="D7" s="6"/>
      <c r="E7" s="6"/>
      <c r="F7" s="6"/>
      <c r="G7" s="6"/>
      <c r="H7" s="6"/>
      <c r="I7" s="6"/>
      <c r="J7" s="6"/>
      <c r="K7" s="7"/>
    </row>
    <row r="8" spans="1:11" ht="18.75" x14ac:dyDescent="0.2">
      <c r="A8" s="29" t="s">
        <v>54</v>
      </c>
      <c r="B8" s="15"/>
      <c r="C8" s="6"/>
      <c r="D8" s="6"/>
      <c r="E8" s="6"/>
      <c r="F8" s="6"/>
      <c r="G8" s="6"/>
      <c r="H8" s="6"/>
      <c r="I8" s="6"/>
      <c r="J8" s="6"/>
      <c r="K8" s="7"/>
    </row>
    <row r="9" spans="1:11" ht="18.75" x14ac:dyDescent="0.2">
      <c r="A9" s="29" t="s">
        <v>55</v>
      </c>
      <c r="B9" s="6"/>
      <c r="C9" s="6"/>
      <c r="D9" s="6"/>
      <c r="E9" s="6"/>
      <c r="F9" s="6"/>
      <c r="G9" s="6"/>
      <c r="H9" s="6"/>
      <c r="I9" s="6"/>
      <c r="J9" s="6"/>
      <c r="K9" s="7"/>
    </row>
    <row r="10" spans="1:11" ht="18.75" x14ac:dyDescent="0.2">
      <c r="A10" s="29" t="s">
        <v>56</v>
      </c>
      <c r="B10" s="15"/>
      <c r="C10" s="6"/>
      <c r="D10" s="6"/>
      <c r="E10" s="6"/>
      <c r="F10" s="6"/>
      <c r="G10" s="6"/>
      <c r="H10" s="6"/>
      <c r="I10" s="6"/>
      <c r="J10" s="6"/>
      <c r="K10" s="7"/>
    </row>
    <row r="11" spans="1:11" ht="18.75" x14ac:dyDescent="0.2">
      <c r="A11" s="29" t="s">
        <v>57</v>
      </c>
      <c r="B11" s="15"/>
      <c r="C11" s="6"/>
      <c r="D11" s="6"/>
      <c r="E11" s="6"/>
      <c r="F11" s="6"/>
      <c r="G11" s="6"/>
      <c r="H11" s="6"/>
      <c r="I11" s="6"/>
      <c r="J11" s="6"/>
      <c r="K11" s="7"/>
    </row>
    <row r="12" spans="1:11" ht="18.75" x14ac:dyDescent="0.2">
      <c r="A12" s="29" t="s">
        <v>58</v>
      </c>
      <c r="B12" s="15"/>
      <c r="C12" s="6"/>
      <c r="D12" s="6"/>
      <c r="E12" s="6"/>
      <c r="F12" s="6"/>
      <c r="G12" s="6"/>
      <c r="H12" s="6"/>
      <c r="I12" s="6"/>
      <c r="J12" s="6"/>
      <c r="K12" s="7"/>
    </row>
    <row r="13" spans="1:11" ht="19.5" thickBot="1" x14ac:dyDescent="0.25">
      <c r="A13" s="30" t="s">
        <v>59</v>
      </c>
      <c r="B13" s="16"/>
      <c r="C13" s="12"/>
      <c r="D13" s="12"/>
      <c r="E13" s="12"/>
      <c r="F13" s="12"/>
      <c r="G13" s="12"/>
      <c r="H13" s="12"/>
      <c r="I13" s="12"/>
      <c r="J13" s="12"/>
      <c r="K13" s="13"/>
    </row>
  </sheetData>
  <conditionalFormatting sqref="B7:K8 B10:K13 C6:K13">
    <cfRule type="expression" dxfId="68" priority="6">
      <formula>INDEX(Name,$A6)=""</formula>
    </cfRule>
  </conditionalFormatting>
  <conditionalFormatting sqref="D2:J2">
    <cfRule type="expression" dxfId="67" priority="5">
      <formula>CELL("protect",D2)=0</formula>
    </cfRule>
  </conditionalFormatting>
  <conditionalFormatting sqref="D3:I3">
    <cfRule type="expression" dxfId="66" priority="4">
      <formula>INDEX(Name,$A3)=""</formula>
    </cfRule>
  </conditionalFormatting>
  <conditionalFormatting sqref="B9:K9">
    <cfRule type="expression" dxfId="65" priority="3">
      <formula>INDEX(Name,$A9)=""</formula>
    </cfRule>
  </conditionalFormatting>
  <conditionalFormatting sqref="B6:K6">
    <cfRule type="expression" dxfId="64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22EE429F-2433-4814-87BD-B0986E0854AD}">
      <formula1>0</formula1>
    </dataValidation>
    <dataValidation type="decimal" operator="greaterThanOrEqual" allowBlank="1" showInputMessage="1" showErrorMessage="1" errorTitle="Values" error="Input must be greater than or equal zero" sqref="H3:I3" xr:uid="{4A03C0FC-AE4C-4359-82B3-E967756D5A71}">
      <formula1>0</formula1>
    </dataValidation>
    <dataValidation type="list" allowBlank="1" showInputMessage="1" showErrorMessage="1" errorTitle="Try again" error="Choose from the list" sqref="D3" xr:uid="{BBAC0E48-B96C-4017-862C-B1C1F812A25D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68F4E-8DED-44DE-A95D-A8839C916D6D}">
  <sheetPr codeName="גיליון4">
    <tabColor theme="5" tint="-0.249977111117893"/>
  </sheetPr>
  <dimension ref="A1:K13"/>
  <sheetViews>
    <sheetView showGridLines="0" workbookViewId="0">
      <selection activeCell="D3" sqref="D3:J3"/>
    </sheetView>
  </sheetViews>
  <sheetFormatPr defaultRowHeight="14.25" x14ac:dyDescent="0.2"/>
  <sheetData>
    <row r="1" spans="1:11" ht="15.75" thickBot="1" x14ac:dyDescent="0.25">
      <c r="A1" s="1" t="s">
        <v>62</v>
      </c>
    </row>
    <row r="2" spans="1:11" ht="15.75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5.75" thickBot="1" x14ac:dyDescent="0.3">
      <c r="A3" s="23" t="s">
        <v>8</v>
      </c>
      <c r="B3" s="24" t="s">
        <v>50</v>
      </c>
      <c r="D3" s="56"/>
      <c r="E3" s="57"/>
      <c r="F3" s="57"/>
      <c r="G3" s="57"/>
      <c r="H3" s="57"/>
      <c r="I3" s="57"/>
      <c r="J3" s="58"/>
    </row>
    <row r="4" spans="1:11" ht="15" thickBot="1" x14ac:dyDescent="0.25"/>
    <row r="5" spans="1:11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28.5" x14ac:dyDescent="0.2">
      <c r="A6" s="28" t="s">
        <v>52</v>
      </c>
      <c r="B6" s="8"/>
      <c r="C6" s="8"/>
      <c r="D6" s="8"/>
      <c r="E6" s="8"/>
      <c r="F6" s="8"/>
      <c r="G6" s="8"/>
      <c r="H6" s="8"/>
      <c r="I6" s="8"/>
      <c r="J6" s="8"/>
      <c r="K6" s="10"/>
    </row>
    <row r="7" spans="1:11" x14ac:dyDescent="0.2">
      <c r="A7" s="29" t="s">
        <v>53</v>
      </c>
      <c r="B7" s="15"/>
      <c r="C7" s="8"/>
      <c r="D7" s="8"/>
      <c r="E7" s="8"/>
      <c r="F7" s="8"/>
      <c r="G7" s="8"/>
      <c r="H7" s="8"/>
      <c r="I7" s="8"/>
      <c r="J7" s="8"/>
      <c r="K7" s="10"/>
    </row>
    <row r="8" spans="1:11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1" ht="18.75" x14ac:dyDescent="0.2">
      <c r="A9" s="29" t="s">
        <v>55</v>
      </c>
      <c r="B9" s="15"/>
      <c r="C9" s="8"/>
      <c r="D9" s="8"/>
      <c r="E9" s="8"/>
      <c r="F9" s="8"/>
      <c r="G9" s="8"/>
      <c r="H9" s="8"/>
      <c r="I9" s="8"/>
      <c r="J9" s="8"/>
      <c r="K9" s="10"/>
    </row>
    <row r="10" spans="1:11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1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1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1" ht="19.5" thickBot="1" x14ac:dyDescent="0.25">
      <c r="A13" s="30" t="s">
        <v>59</v>
      </c>
      <c r="B13" s="16"/>
      <c r="C13" s="9"/>
      <c r="D13" s="9"/>
      <c r="E13" s="9"/>
      <c r="F13" s="9"/>
      <c r="G13" s="9"/>
      <c r="H13" s="9"/>
      <c r="I13" s="9"/>
      <c r="J13" s="9"/>
      <c r="K13" s="11"/>
    </row>
  </sheetData>
  <conditionalFormatting sqref="B7:K13">
    <cfRule type="expression" dxfId="63" priority="5">
      <formula>INDEX(Name,$A7)=""</formula>
    </cfRule>
  </conditionalFormatting>
  <conditionalFormatting sqref="D2:J2">
    <cfRule type="expression" dxfId="62" priority="3">
      <formula>CELL("protect",D2)=0</formula>
    </cfRule>
  </conditionalFormatting>
  <conditionalFormatting sqref="D3:I3">
    <cfRule type="expression" dxfId="61" priority="2">
      <formula>INDEX(Name,$A3)=""</formula>
    </cfRule>
  </conditionalFormatting>
  <conditionalFormatting sqref="B6:K6">
    <cfRule type="expression" dxfId="60" priority="1">
      <formula>INDEX(Name,$A6)=""</formula>
    </cfRule>
  </conditionalFormatting>
  <dataValidations count="3">
    <dataValidation type="decimal" operator="greaterThanOrEqual" allowBlank="1" showInputMessage="1" showErrorMessage="1" errorTitle="Values" error="Input must be greater than or equal zero" sqref="H3:I3" xr:uid="{F587F07B-4220-44F2-B03F-096159328997}">
      <formula1>0</formula1>
    </dataValidation>
    <dataValidation type="whole" operator="greaterThanOrEqual" allowBlank="1" showInputMessage="1" showErrorMessage="1" errorTitle="Values" error="Input must be integer greater than or equal zero" sqref="E3:G3 B6:K6" xr:uid="{C03F216C-9B47-4905-8907-0520E198F0FD}">
      <formula1>0</formula1>
    </dataValidation>
    <dataValidation type="list" allowBlank="1" showInputMessage="1" showErrorMessage="1" errorTitle="Try again" error="Choose from the list" sqref="D3" xr:uid="{FA1C0134-DC9D-453B-BB9D-9AFD344E4814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3CFF-0E9A-4107-8C68-2266C1881037}">
  <sheetPr codeName="גיליון5">
    <tabColor theme="5" tint="-0.249977111117893"/>
  </sheetPr>
  <dimension ref="A1:K13"/>
  <sheetViews>
    <sheetView showGridLines="0" zoomScaleNormal="100" workbookViewId="0">
      <selection activeCell="D3" sqref="D3:J3"/>
    </sheetView>
  </sheetViews>
  <sheetFormatPr defaultRowHeight="14.25" x14ac:dyDescent="0.2"/>
  <sheetData>
    <row r="1" spans="1:11" ht="15.75" thickBot="1" x14ac:dyDescent="0.25">
      <c r="A1" s="1" t="s">
        <v>61</v>
      </c>
    </row>
    <row r="2" spans="1:11" ht="15.75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5.75" thickBot="1" x14ac:dyDescent="0.3">
      <c r="A3" s="23" t="s">
        <v>9</v>
      </c>
      <c r="B3" s="24" t="s">
        <v>50</v>
      </c>
      <c r="D3" s="56"/>
      <c r="E3" s="57"/>
      <c r="F3" s="57"/>
      <c r="G3" s="57"/>
      <c r="H3" s="57"/>
      <c r="I3" s="57"/>
      <c r="J3" s="58"/>
    </row>
    <row r="4" spans="1:11" ht="15" thickBot="1" x14ac:dyDescent="0.25"/>
    <row r="5" spans="1:11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28.5" x14ac:dyDescent="0.2">
      <c r="A6" s="28" t="s">
        <v>52</v>
      </c>
      <c r="B6" s="8"/>
      <c r="C6" s="8"/>
      <c r="D6" s="8"/>
      <c r="E6" s="8"/>
      <c r="F6" s="8"/>
      <c r="G6" s="8"/>
      <c r="H6" s="8"/>
      <c r="I6" s="8"/>
      <c r="J6" s="8"/>
      <c r="K6" s="10"/>
    </row>
    <row r="7" spans="1:11" x14ac:dyDescent="0.2">
      <c r="A7" s="29" t="s">
        <v>53</v>
      </c>
      <c r="B7" s="15"/>
      <c r="C7" s="8"/>
      <c r="D7" s="8"/>
      <c r="E7" s="8"/>
      <c r="F7" s="8"/>
      <c r="G7" s="8"/>
      <c r="H7" s="8"/>
      <c r="I7" s="8"/>
      <c r="J7" s="8"/>
      <c r="K7" s="10"/>
    </row>
    <row r="8" spans="1:11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1" ht="18.75" x14ac:dyDescent="0.2">
      <c r="A9" s="29" t="s">
        <v>55</v>
      </c>
      <c r="B9" s="8"/>
      <c r="C9" s="8"/>
      <c r="D9" s="8"/>
      <c r="E9" s="8"/>
      <c r="F9" s="8"/>
      <c r="G9" s="8"/>
      <c r="H9" s="8"/>
      <c r="I9" s="8"/>
      <c r="J9" s="8"/>
      <c r="K9" s="10"/>
    </row>
    <row r="10" spans="1:11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1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1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1" ht="19.5" thickBot="1" x14ac:dyDescent="0.25">
      <c r="A13" s="30" t="s">
        <v>59</v>
      </c>
      <c r="B13" s="16"/>
      <c r="C13" s="9"/>
      <c r="D13" s="9"/>
      <c r="E13" s="9"/>
      <c r="F13" s="9"/>
      <c r="G13" s="9"/>
      <c r="H13" s="9"/>
      <c r="I13" s="9"/>
      <c r="J13" s="9"/>
      <c r="K13" s="11"/>
    </row>
  </sheetData>
  <conditionalFormatting sqref="B7:K8 B10:K13">
    <cfRule type="expression" dxfId="59" priority="7">
      <formula>INDEX(Name,$A7)=""</formula>
    </cfRule>
  </conditionalFormatting>
  <conditionalFormatting sqref="D2:J2">
    <cfRule type="expression" dxfId="58" priority="5">
      <formula>CELL("protect",D2)=0</formula>
    </cfRule>
  </conditionalFormatting>
  <conditionalFormatting sqref="D3:I3">
    <cfRule type="expression" dxfId="57" priority="4">
      <formula>INDEX(Name,$A3)=""</formula>
    </cfRule>
  </conditionalFormatting>
  <conditionalFormatting sqref="B9:K9">
    <cfRule type="expression" dxfId="56" priority="3">
      <formula>INDEX(Name,$A9)=""</formula>
    </cfRule>
  </conditionalFormatting>
  <conditionalFormatting sqref="B6:K6">
    <cfRule type="expression" dxfId="55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FB0FF69C-9120-4601-B268-C52E4557604E}">
      <formula1>0</formula1>
    </dataValidation>
    <dataValidation type="decimal" operator="greaterThanOrEqual" allowBlank="1" showInputMessage="1" showErrorMessage="1" errorTitle="Values" error="Input must be greater than or equal zero" sqref="H3:I3" xr:uid="{380C83A7-7DB9-4390-B8F8-973CBEF3A32D}">
      <formula1>0</formula1>
    </dataValidation>
    <dataValidation type="list" allowBlank="1" showInputMessage="1" showErrorMessage="1" errorTitle="Try again" error="Choose from the list" sqref="D3" xr:uid="{54F77A8E-7FA4-415E-B747-33F0D0F8E4FA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4172F-8487-43DF-B850-0B6D46BA5045}">
  <sheetPr codeName="גיליון6">
    <tabColor theme="5" tint="-0.249977111117893"/>
  </sheetPr>
  <dimension ref="A1:K13"/>
  <sheetViews>
    <sheetView showGridLines="0" zoomScale="130" zoomScaleNormal="130" workbookViewId="0">
      <selection activeCell="D3" sqref="D3:J3"/>
    </sheetView>
  </sheetViews>
  <sheetFormatPr defaultRowHeight="14.25" x14ac:dyDescent="0.2"/>
  <sheetData>
    <row r="1" spans="1:11" ht="15.75" thickBot="1" x14ac:dyDescent="0.25">
      <c r="A1" s="1" t="s">
        <v>60</v>
      </c>
    </row>
    <row r="2" spans="1:11" ht="15.75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5.75" thickBot="1" x14ac:dyDescent="0.3">
      <c r="A3" s="23" t="s">
        <v>10</v>
      </c>
      <c r="B3" s="24" t="s">
        <v>50</v>
      </c>
      <c r="D3" s="56"/>
      <c r="E3" s="57"/>
      <c r="F3" s="57"/>
      <c r="G3" s="57"/>
      <c r="H3" s="57"/>
      <c r="I3" s="57"/>
      <c r="J3" s="58"/>
    </row>
    <row r="4" spans="1:11" ht="15" thickBot="1" x14ac:dyDescent="0.25"/>
    <row r="5" spans="1:11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28.5" x14ac:dyDescent="0.2">
      <c r="A6" s="28" t="s">
        <v>52</v>
      </c>
      <c r="B6" s="8"/>
      <c r="C6" s="8"/>
      <c r="D6" s="8"/>
      <c r="E6" s="8"/>
      <c r="F6" s="8"/>
      <c r="G6" s="8"/>
      <c r="H6" s="8"/>
      <c r="I6" s="8"/>
      <c r="J6" s="8"/>
      <c r="K6" s="10"/>
    </row>
    <row r="7" spans="1:11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1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1" ht="18.75" x14ac:dyDescent="0.2">
      <c r="A9" s="29" t="s">
        <v>55</v>
      </c>
      <c r="B9" s="8"/>
      <c r="C9" s="8"/>
      <c r="D9" s="8"/>
      <c r="E9" s="8"/>
      <c r="F9" s="8"/>
      <c r="G9" s="8"/>
      <c r="H9" s="8"/>
      <c r="I9" s="8"/>
      <c r="J9" s="8"/>
      <c r="K9" s="10"/>
    </row>
    <row r="10" spans="1:11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1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1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1" ht="19.5" thickBot="1" x14ac:dyDescent="0.25">
      <c r="A13" s="30" t="s">
        <v>59</v>
      </c>
      <c r="B13" s="16"/>
      <c r="C13" s="9"/>
      <c r="D13" s="9"/>
      <c r="E13" s="9"/>
      <c r="F13" s="9"/>
      <c r="G13" s="9"/>
      <c r="H13" s="9"/>
      <c r="I13" s="9"/>
      <c r="J13" s="9"/>
      <c r="K13" s="11"/>
    </row>
  </sheetData>
  <conditionalFormatting sqref="B7:K8 B10:K13">
    <cfRule type="expression" dxfId="54" priority="6">
      <formula>INDEX(Name,$A7)=""</formula>
    </cfRule>
  </conditionalFormatting>
  <conditionalFormatting sqref="D2:J2">
    <cfRule type="expression" dxfId="53" priority="4">
      <formula>CELL("protect",D2)=0</formula>
    </cfRule>
  </conditionalFormatting>
  <conditionalFormatting sqref="D3:I3">
    <cfRule type="expression" dxfId="52" priority="3">
      <formula>INDEX(Name,$A3)=""</formula>
    </cfRule>
  </conditionalFormatting>
  <conditionalFormatting sqref="B9:K9">
    <cfRule type="expression" dxfId="51" priority="2">
      <formula>INDEX(Name,$A9)=""</formula>
    </cfRule>
  </conditionalFormatting>
  <conditionalFormatting sqref="B6:K6">
    <cfRule type="expression" dxfId="50" priority="1">
      <formula>INDEX(Name,$A6)=""</formula>
    </cfRule>
  </conditionalFormatting>
  <dataValidations count="3">
    <dataValidation type="decimal" operator="greaterThanOrEqual" allowBlank="1" showInputMessage="1" showErrorMessage="1" errorTitle="Values" error="Input must be greater than or equal zero" sqref="H3:I3" xr:uid="{0D3AF3C9-41C3-4178-8135-234444EBB4DC}">
      <formula1>0</formula1>
    </dataValidation>
    <dataValidation type="whole" operator="greaterThanOrEqual" allowBlank="1" showInputMessage="1" showErrorMessage="1" errorTitle="Values" error="Input must be integer greater than or equal zero" sqref="E3:G3 B9:K9 B6:K6" xr:uid="{420D7047-9031-4EF3-91BE-BEB997358395}">
      <formula1>0</formula1>
    </dataValidation>
    <dataValidation type="list" allowBlank="1" showInputMessage="1" showErrorMessage="1" errorTitle="Try again" error="Choose from the list" sqref="D3" xr:uid="{272BCBDE-6881-49AD-8836-281CA4BE6528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0906B-8A2B-48CB-A55E-C89F1AC5E514}">
  <sheetPr codeName="גיליון7">
    <tabColor theme="5" tint="-0.249977111117893"/>
  </sheetPr>
  <dimension ref="A1:K13"/>
  <sheetViews>
    <sheetView showGridLines="0" workbookViewId="0">
      <selection activeCell="D3" sqref="D3:J3"/>
    </sheetView>
  </sheetViews>
  <sheetFormatPr defaultRowHeight="14.25" x14ac:dyDescent="0.2"/>
  <sheetData>
    <row r="1" spans="1:11" ht="15.75" thickBot="1" x14ac:dyDescent="0.25">
      <c r="A1" s="1" t="s">
        <v>63</v>
      </c>
    </row>
    <row r="2" spans="1:11" ht="15.75" thickBot="1" x14ac:dyDescent="0.25">
      <c r="D2" s="22" t="s">
        <v>2</v>
      </c>
      <c r="E2" s="3" t="s">
        <v>3</v>
      </c>
      <c r="F2" s="3" t="s">
        <v>4</v>
      </c>
      <c r="G2" s="3" t="s">
        <v>5</v>
      </c>
      <c r="H2" s="3" t="s">
        <v>24</v>
      </c>
      <c r="I2" s="3" t="s">
        <v>90</v>
      </c>
      <c r="J2" s="4" t="s">
        <v>6</v>
      </c>
    </row>
    <row r="3" spans="1:11" ht="15.75" thickBot="1" x14ac:dyDescent="0.3">
      <c r="A3" s="23" t="s">
        <v>11</v>
      </c>
      <c r="B3" s="24" t="s">
        <v>50</v>
      </c>
      <c r="D3" s="59"/>
      <c r="E3" s="57"/>
      <c r="F3" s="57"/>
      <c r="G3" s="57"/>
      <c r="H3" s="57"/>
      <c r="I3" s="57"/>
      <c r="J3" s="58"/>
    </row>
    <row r="4" spans="1:11" ht="15" thickBot="1" x14ac:dyDescent="0.25"/>
    <row r="5" spans="1:11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1" ht="28.5" x14ac:dyDescent="0.2">
      <c r="A6" s="28" t="s">
        <v>52</v>
      </c>
      <c r="B6" s="8"/>
      <c r="C6" s="8"/>
      <c r="D6" s="8"/>
      <c r="E6" s="8"/>
      <c r="F6" s="8"/>
      <c r="G6" s="8"/>
      <c r="H6" s="18"/>
      <c r="I6" s="18"/>
      <c r="J6" s="18"/>
      <c r="K6" s="19"/>
    </row>
    <row r="7" spans="1:11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1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1" ht="18.75" x14ac:dyDescent="0.2">
      <c r="A9" s="29" t="s">
        <v>55</v>
      </c>
      <c r="B9" s="8"/>
      <c r="C9" s="8"/>
      <c r="D9" s="8"/>
      <c r="E9" s="8"/>
      <c r="F9" s="8"/>
      <c r="G9" s="8"/>
      <c r="H9" s="18"/>
      <c r="I9" s="18"/>
      <c r="J9" s="18"/>
      <c r="K9" s="19"/>
    </row>
    <row r="10" spans="1:11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1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8"/>
    </row>
    <row r="12" spans="1:11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1" ht="18.75" x14ac:dyDescent="0.2">
      <c r="A13" s="29" t="s">
        <v>59</v>
      </c>
      <c r="B13" s="15"/>
      <c r="C13" s="8"/>
      <c r="D13" s="8"/>
      <c r="E13" s="8"/>
      <c r="F13" s="8"/>
      <c r="G13" s="8"/>
      <c r="H13" s="8"/>
      <c r="I13" s="8"/>
      <c r="J13" s="8"/>
      <c r="K13" s="10"/>
    </row>
  </sheetData>
  <conditionalFormatting sqref="B7:K8 B10:K13">
    <cfRule type="expression" dxfId="49" priority="6">
      <formula>INDEX(Name,$A7)=""</formula>
    </cfRule>
  </conditionalFormatting>
  <conditionalFormatting sqref="D2:J2">
    <cfRule type="expression" dxfId="48" priority="4">
      <formula>CELL("protect",D2)=0</formula>
    </cfRule>
  </conditionalFormatting>
  <conditionalFormatting sqref="D3:I3">
    <cfRule type="expression" dxfId="47" priority="3">
      <formula>INDEX(Name,$A3)=""</formula>
    </cfRule>
  </conditionalFormatting>
  <conditionalFormatting sqref="B9:K9">
    <cfRule type="expression" dxfId="46" priority="2">
      <formula>INDEX(Name,$A9)=""</formula>
    </cfRule>
  </conditionalFormatting>
  <conditionalFormatting sqref="B6:K6">
    <cfRule type="expression" dxfId="45" priority="1">
      <formula>INDEX(Name,$A6)=""</formula>
    </cfRule>
  </conditionalFormatting>
  <dataValidations count="3">
    <dataValidation type="whole" operator="greaterThanOrEqual" allowBlank="1" showInputMessage="1" showErrorMessage="1" errorTitle="Values" error="Input must be integer greater than or equal zero" sqref="E3:G3 B9:K9 B6:K6" xr:uid="{F2742749-A6D2-433B-9423-F911EC86C315}">
      <formula1>0</formula1>
    </dataValidation>
    <dataValidation type="decimal" operator="greaterThanOrEqual" allowBlank="1" showInputMessage="1" showErrorMessage="1" errorTitle="Values" error="Input must be greater than or equal zero" sqref="H3:I3" xr:uid="{8F8BAE00-E1EF-4EE1-9D98-51B715F1BA4F}">
      <formula1>0</formula1>
    </dataValidation>
    <dataValidation type="list" allowBlank="1" showInputMessage="1" showErrorMessage="1" errorTitle="Try again" error="Choose from the list" sqref="D3" xr:uid="{3D8D772C-1C36-4FD1-AF38-07FBFA4A06FE}">
      <formula1>"LFL, FP, SM, WW"</formula1>
    </dataValidation>
  </dataValidations>
  <pageMargins left="0.7" right="0.7" top="0.75" bottom="0.75" header="0.3" footer="0.3"/>
  <drawing r:id="rId1"/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B609A-2DCF-4859-8044-A2C260ECD2D8}">
  <sheetPr codeName="גיליון8">
    <tabColor theme="5" tint="0.39997558519241921"/>
  </sheetPr>
  <dimension ref="A1:O15"/>
  <sheetViews>
    <sheetView showGridLines="0" workbookViewId="0">
      <selection activeCell="D3" sqref="D3:N3"/>
    </sheetView>
  </sheetViews>
  <sheetFormatPr defaultRowHeight="14.25" x14ac:dyDescent="0.2"/>
  <sheetData>
    <row r="1" spans="1:15" ht="15.75" thickBot="1" x14ac:dyDescent="0.25">
      <c r="A1" s="1" t="s">
        <v>66</v>
      </c>
    </row>
    <row r="2" spans="1:15" ht="15.75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5.75" thickBot="1" x14ac:dyDescent="0.3">
      <c r="A3" s="23" t="s">
        <v>12</v>
      </c>
      <c r="B3" s="24" t="s">
        <v>65</v>
      </c>
      <c r="D3" s="60"/>
      <c r="E3" s="61"/>
      <c r="F3" s="61"/>
      <c r="G3" s="61"/>
      <c r="H3" s="61"/>
      <c r="I3" s="61"/>
      <c r="J3" s="61"/>
      <c r="K3" s="61"/>
      <c r="L3" s="61"/>
      <c r="M3" s="61"/>
      <c r="N3" s="55"/>
    </row>
    <row r="4" spans="1:15" ht="15" thickBot="1" x14ac:dyDescent="0.25"/>
    <row r="5" spans="1:15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28.5" x14ac:dyDescent="0.2">
      <c r="A6" s="28" t="s">
        <v>52</v>
      </c>
      <c r="B6" s="15"/>
      <c r="C6" s="8"/>
      <c r="D6" s="8"/>
      <c r="E6" s="8"/>
      <c r="F6" s="8"/>
      <c r="G6" s="8"/>
      <c r="H6" s="8"/>
      <c r="I6" s="8"/>
      <c r="J6" s="8"/>
      <c r="K6" s="10"/>
    </row>
    <row r="7" spans="1:15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5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5" ht="18.75" x14ac:dyDescent="0.2">
      <c r="A9" s="29" t="s">
        <v>55</v>
      </c>
      <c r="B9" s="8"/>
      <c r="C9" s="8"/>
      <c r="D9" s="8"/>
      <c r="E9" s="8"/>
      <c r="F9" s="8"/>
      <c r="G9" s="8"/>
      <c r="H9" s="18"/>
      <c r="I9" s="18"/>
      <c r="J9" s="18"/>
      <c r="K9" s="19"/>
    </row>
    <row r="10" spans="1:15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5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5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5" ht="18.75" x14ac:dyDescent="0.2">
      <c r="A13" s="29" t="s">
        <v>91</v>
      </c>
      <c r="B13" s="25"/>
      <c r="C13" s="25"/>
      <c r="D13" s="25"/>
      <c r="E13" s="25"/>
      <c r="F13" s="25"/>
      <c r="G13" s="25"/>
      <c r="H13" s="25"/>
      <c r="I13" s="25"/>
      <c r="J13" s="25"/>
      <c r="K13" s="26"/>
    </row>
    <row r="14" spans="1:15" ht="18.75" x14ac:dyDescent="0.2">
      <c r="A14" s="29" t="s">
        <v>92</v>
      </c>
      <c r="B14" s="25"/>
      <c r="C14" s="25"/>
      <c r="D14" s="25"/>
      <c r="E14" s="25"/>
      <c r="F14" s="25"/>
      <c r="G14" s="25"/>
      <c r="H14" s="25"/>
      <c r="I14" s="25"/>
      <c r="J14" s="25"/>
      <c r="K14" s="26"/>
    </row>
    <row r="15" spans="1:15" ht="19.5" thickBot="1" x14ac:dyDescent="0.25">
      <c r="A15" s="30" t="s">
        <v>59</v>
      </c>
      <c r="B15" s="9"/>
      <c r="C15" s="9"/>
      <c r="D15" s="9"/>
      <c r="E15" s="9"/>
      <c r="F15" s="9"/>
      <c r="G15" s="9"/>
      <c r="H15" s="9"/>
      <c r="I15" s="9"/>
      <c r="J15" s="9"/>
      <c r="K15" s="11"/>
      <c r="O15" t="s">
        <v>67</v>
      </c>
    </row>
  </sheetData>
  <conditionalFormatting sqref="B6:K8 B10:K12">
    <cfRule type="expression" dxfId="44" priority="19">
      <formula>INDEX(Name,$A6)=""</formula>
    </cfRule>
  </conditionalFormatting>
  <conditionalFormatting sqref="D2:G2">
    <cfRule type="expression" dxfId="43" priority="11">
      <formula>CELL("protect",D2)=0</formula>
    </cfRule>
  </conditionalFormatting>
  <conditionalFormatting sqref="I2 K2:N2">
    <cfRule type="expression" dxfId="42" priority="10">
      <formula>CELL("protect",I2)=0</formula>
    </cfRule>
  </conditionalFormatting>
  <conditionalFormatting sqref="J2">
    <cfRule type="expression" dxfId="41" priority="8">
      <formula>CELL("protect",J2)=0</formula>
    </cfRule>
  </conditionalFormatting>
  <conditionalFormatting sqref="H2">
    <cfRule type="expression" dxfId="40" priority="7">
      <formula>CELL("protect",H2)=0</formula>
    </cfRule>
  </conditionalFormatting>
  <conditionalFormatting sqref="B9:K9">
    <cfRule type="expression" dxfId="39" priority="4">
      <formula>INDEX(Name,$A9)=""</formula>
    </cfRule>
  </conditionalFormatting>
  <conditionalFormatting sqref="B15:K15">
    <cfRule type="expression" dxfId="38" priority="1">
      <formula>INDEX(Name,$A15)=""</formula>
    </cfRule>
  </conditionalFormatting>
  <dataValidations count="1">
    <dataValidation type="whole" operator="greaterThanOrEqual" allowBlank="1" showInputMessage="1" showErrorMessage="1" errorTitle="Values" error="Input must be integer greater than or equal zero" sqref="B9:K9" xr:uid="{D7E8202F-A47E-46CA-A6DA-A20BF4B67B86}">
      <formula1>0</formula1>
    </dataValidation>
  </dataValidations>
  <pageMargins left="0.7" right="0.7" top="0.75" bottom="0.75" header="0.3" footer="0.3"/>
  <drawing r:id="rId1"/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7958-E142-4E7F-9A60-98E9B9B98700}">
  <sheetPr codeName="גיליון9">
    <tabColor theme="5" tint="0.39997558519241921"/>
  </sheetPr>
  <dimension ref="A1:O15"/>
  <sheetViews>
    <sheetView showGridLines="0" workbookViewId="0">
      <selection activeCell="D3" sqref="D3:N3"/>
    </sheetView>
  </sheetViews>
  <sheetFormatPr defaultRowHeight="14.25" x14ac:dyDescent="0.2"/>
  <sheetData>
    <row r="1" spans="1:15" ht="15.75" thickBot="1" x14ac:dyDescent="0.25">
      <c r="A1" s="1" t="s">
        <v>68</v>
      </c>
    </row>
    <row r="2" spans="1:15" ht="15.75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5.75" thickBot="1" x14ac:dyDescent="0.3">
      <c r="A3" s="23" t="s">
        <v>13</v>
      </c>
      <c r="B3" s="24" t="s">
        <v>65</v>
      </c>
      <c r="D3" s="56"/>
      <c r="E3" s="57"/>
      <c r="F3" s="57"/>
      <c r="G3" s="57"/>
      <c r="H3" s="57"/>
      <c r="I3" s="57"/>
      <c r="J3" s="57"/>
      <c r="K3" s="57"/>
      <c r="L3" s="57"/>
      <c r="M3" s="62"/>
      <c r="N3" s="63"/>
    </row>
    <row r="4" spans="1:15" ht="15" thickBot="1" x14ac:dyDescent="0.25"/>
    <row r="5" spans="1:15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28.5" x14ac:dyDescent="0.2">
      <c r="A6" s="28" t="s">
        <v>52</v>
      </c>
      <c r="B6" s="8"/>
      <c r="C6" s="8"/>
      <c r="D6" s="8"/>
      <c r="E6" s="8"/>
      <c r="F6" s="8"/>
      <c r="G6" s="8"/>
      <c r="H6" s="18"/>
      <c r="I6" s="18"/>
      <c r="J6" s="18"/>
      <c r="K6" s="19"/>
    </row>
    <row r="7" spans="1:15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5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5" ht="18.75" x14ac:dyDescent="0.2">
      <c r="A9" s="29" t="s">
        <v>55</v>
      </c>
      <c r="B9" s="8"/>
      <c r="C9" s="8"/>
      <c r="D9" s="8"/>
      <c r="E9" s="8"/>
      <c r="F9" s="8"/>
      <c r="G9" s="8"/>
      <c r="H9" s="18"/>
      <c r="I9" s="18"/>
      <c r="J9" s="18"/>
      <c r="K9" s="19"/>
    </row>
    <row r="10" spans="1:15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5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5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5" ht="18.75" x14ac:dyDescent="0.2">
      <c r="A13" s="29" t="s">
        <v>91</v>
      </c>
      <c r="B13" s="25"/>
      <c r="C13" s="25"/>
      <c r="D13" s="25"/>
      <c r="E13" s="25"/>
      <c r="F13" s="25"/>
      <c r="G13" s="25"/>
      <c r="H13" s="25"/>
      <c r="I13" s="25"/>
      <c r="J13" s="25"/>
      <c r="K13" s="26"/>
    </row>
    <row r="14" spans="1:15" ht="18.75" x14ac:dyDescent="0.2">
      <c r="A14" s="29" t="s">
        <v>92</v>
      </c>
      <c r="B14" s="25"/>
      <c r="C14" s="25"/>
      <c r="D14" s="25"/>
      <c r="E14" s="25"/>
      <c r="F14" s="25"/>
      <c r="G14" s="25"/>
      <c r="H14" s="25"/>
      <c r="I14" s="25"/>
      <c r="J14" s="25"/>
      <c r="K14" s="26"/>
    </row>
    <row r="15" spans="1:15" ht="19.5" thickBot="1" x14ac:dyDescent="0.25">
      <c r="A15" s="30" t="s">
        <v>59</v>
      </c>
      <c r="B15" s="9"/>
      <c r="C15" s="9"/>
      <c r="D15" s="9"/>
      <c r="E15" s="9"/>
      <c r="F15" s="9"/>
      <c r="G15" s="9"/>
      <c r="H15" s="9"/>
      <c r="I15" s="9"/>
      <c r="J15" s="9"/>
      <c r="K15" s="11"/>
      <c r="O15" t="s">
        <v>67</v>
      </c>
    </row>
  </sheetData>
  <conditionalFormatting sqref="B7:K8 B10:K12">
    <cfRule type="expression" dxfId="37" priority="14">
      <formula>INDEX(Name,$A7)=""</formula>
    </cfRule>
  </conditionalFormatting>
  <conditionalFormatting sqref="D2:G2">
    <cfRule type="expression" dxfId="36" priority="12">
      <formula>CELL("protect",D2)=0</formula>
    </cfRule>
  </conditionalFormatting>
  <conditionalFormatting sqref="I2 K2:N2">
    <cfRule type="expression" dxfId="35" priority="11">
      <formula>CELL("protect",I2)=0</formula>
    </cfRule>
  </conditionalFormatting>
  <conditionalFormatting sqref="J2">
    <cfRule type="expression" dxfId="34" priority="10">
      <formula>CELL("protect",J2)=0</formula>
    </cfRule>
  </conditionalFormatting>
  <conditionalFormatting sqref="H2">
    <cfRule type="expression" dxfId="33" priority="9">
      <formula>CELL("protect",H2)=0</formula>
    </cfRule>
  </conditionalFormatting>
  <conditionalFormatting sqref="E3:L3">
    <cfRule type="expression" dxfId="32" priority="6">
      <formula>INDEX(Name,$A3)=""</formula>
    </cfRule>
  </conditionalFormatting>
  <conditionalFormatting sqref="F3:G3">
    <cfRule type="expression" dxfId="31" priority="7">
      <formula>AND(OR($D3="FP",$D3="FQ"),$E3="")</formula>
    </cfRule>
  </conditionalFormatting>
  <conditionalFormatting sqref="B9:K9">
    <cfRule type="expression" dxfId="30" priority="5">
      <formula>INDEX(Name,$A9)=""</formula>
    </cfRule>
  </conditionalFormatting>
  <conditionalFormatting sqref="B6:K6">
    <cfRule type="expression" dxfId="29" priority="4">
      <formula>INDEX(Name,$A6)=""</formula>
    </cfRule>
  </conditionalFormatting>
  <conditionalFormatting sqref="B15:K15">
    <cfRule type="expression" dxfId="28" priority="1">
      <formula>INDEX(Name,$A15)=""</formula>
    </cfRule>
  </conditionalFormatting>
  <dataValidations count="3">
    <dataValidation type="whole" operator="greaterThanOrEqual" allowBlank="1" showInputMessage="1" showErrorMessage="1" error="Input must be integer greater than or equal zero" sqref="D3:I3" xr:uid="{4E4B757F-5ACA-41DA-BB8D-1C6A33356FB5}">
      <formula1>0</formula1>
    </dataValidation>
    <dataValidation type="whole" operator="greaterThanOrEqual" allowBlank="1" showInputMessage="1" showErrorMessage="1" errorTitle="Values" error="Input must be integer greater than or equal zero" sqref="K3 B9:K9 B6:K6" xr:uid="{C3BCBB5C-4B51-4A44-8FC3-2D37412086D2}">
      <formula1>0</formula1>
    </dataValidation>
    <dataValidation type="decimal" operator="greaterThanOrEqual" allowBlank="1" showInputMessage="1" showErrorMessage="1" errorTitle="Values" error="Input must be greater than or equal zero" sqref="L3" xr:uid="{BEA9BD0F-76E0-4F28-80F6-4217504623A8}">
      <formula1>0</formula1>
    </dataValidation>
  </dataValidations>
  <pageMargins left="0.7" right="0.7" top="0.75" bottom="0.75" header="0.3" footer="0.3"/>
  <drawing r:id="rId1"/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FD492-627B-4A88-951C-86E3322CD186}">
  <sheetPr codeName="גיליון10">
    <tabColor theme="5" tint="0.39997558519241921"/>
  </sheetPr>
  <dimension ref="A1:O15"/>
  <sheetViews>
    <sheetView showGridLines="0" workbookViewId="0">
      <selection activeCell="D3" sqref="D3:N3"/>
    </sheetView>
  </sheetViews>
  <sheetFormatPr defaultRowHeight="14.25" x14ac:dyDescent="0.2"/>
  <sheetData>
    <row r="1" spans="1:15" ht="15.75" thickBot="1" x14ac:dyDescent="0.25">
      <c r="A1" s="1" t="s">
        <v>64</v>
      </c>
    </row>
    <row r="2" spans="1:15" ht="15.75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5.75" thickBot="1" x14ac:dyDescent="0.3">
      <c r="A3" s="23" t="s">
        <v>16</v>
      </c>
      <c r="B3" s="24" t="s">
        <v>65</v>
      </c>
      <c r="D3" s="56"/>
      <c r="E3" s="57"/>
      <c r="F3" s="57"/>
      <c r="G3" s="57"/>
      <c r="H3" s="57"/>
      <c r="I3" s="57"/>
      <c r="J3" s="57"/>
      <c r="K3" s="57"/>
      <c r="L3" s="57"/>
      <c r="M3" s="62"/>
      <c r="N3" s="63"/>
    </row>
    <row r="4" spans="1:15" ht="15" thickBot="1" x14ac:dyDescent="0.25"/>
    <row r="5" spans="1:15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28.5" x14ac:dyDescent="0.2">
      <c r="A6" s="28" t="s">
        <v>52</v>
      </c>
      <c r="B6" s="8"/>
      <c r="C6" s="8"/>
      <c r="D6" s="8"/>
      <c r="E6" s="8"/>
      <c r="F6" s="8"/>
      <c r="G6" s="8"/>
      <c r="H6" s="18"/>
      <c r="I6" s="18"/>
      <c r="J6" s="18"/>
      <c r="K6" s="19"/>
    </row>
    <row r="7" spans="1:15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5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5" ht="18.75" x14ac:dyDescent="0.2">
      <c r="A9" s="29" t="s">
        <v>55</v>
      </c>
      <c r="B9" s="15"/>
      <c r="C9" s="8"/>
      <c r="D9" s="8"/>
      <c r="E9" s="8"/>
      <c r="F9" s="8"/>
      <c r="G9" s="8"/>
      <c r="H9" s="8"/>
      <c r="I9" s="8"/>
      <c r="J9" s="8"/>
      <c r="K9" s="10"/>
    </row>
    <row r="10" spans="1:15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5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5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5" ht="18.75" x14ac:dyDescent="0.2">
      <c r="A13" s="29" t="s">
        <v>91</v>
      </c>
      <c r="B13" s="25"/>
      <c r="C13" s="25"/>
      <c r="D13" s="25"/>
      <c r="E13" s="25"/>
      <c r="F13" s="25"/>
      <c r="G13" s="25"/>
      <c r="H13" s="25"/>
      <c r="I13" s="25"/>
      <c r="J13" s="25"/>
      <c r="K13" s="26"/>
    </row>
    <row r="14" spans="1:15" ht="18.75" x14ac:dyDescent="0.2">
      <c r="A14" s="29" t="s">
        <v>92</v>
      </c>
      <c r="B14" s="25"/>
      <c r="C14" s="25"/>
      <c r="D14" s="25"/>
      <c r="E14" s="25"/>
      <c r="F14" s="25"/>
      <c r="G14" s="25"/>
      <c r="H14" s="25"/>
      <c r="I14" s="25"/>
      <c r="J14" s="25"/>
      <c r="K14" s="26"/>
    </row>
    <row r="15" spans="1:15" ht="19.5" thickBot="1" x14ac:dyDescent="0.25">
      <c r="A15" s="30" t="s">
        <v>59</v>
      </c>
      <c r="B15" s="9"/>
      <c r="C15" s="9"/>
      <c r="D15" s="9"/>
      <c r="E15" s="9"/>
      <c r="F15" s="9"/>
      <c r="G15" s="9"/>
      <c r="H15" s="9"/>
      <c r="I15" s="9"/>
      <c r="J15" s="9"/>
      <c r="K15" s="11"/>
      <c r="O15" t="s">
        <v>67</v>
      </c>
    </row>
  </sheetData>
  <conditionalFormatting sqref="B7:K12">
    <cfRule type="expression" dxfId="27" priority="12">
      <formula>INDEX(Name,$A7)=""</formula>
    </cfRule>
  </conditionalFormatting>
  <conditionalFormatting sqref="D2:G2">
    <cfRule type="expression" dxfId="26" priority="10">
      <formula>CELL("protect",D2)=0</formula>
    </cfRule>
  </conditionalFormatting>
  <conditionalFormatting sqref="I2 K2:N2">
    <cfRule type="expression" dxfId="25" priority="9">
      <formula>CELL("protect",I2)=0</formula>
    </cfRule>
  </conditionalFormatting>
  <conditionalFormatting sqref="J2">
    <cfRule type="expression" dxfId="24" priority="8">
      <formula>CELL("protect",J2)=0</formula>
    </cfRule>
  </conditionalFormatting>
  <conditionalFormatting sqref="H2">
    <cfRule type="expression" dxfId="23" priority="7">
      <formula>CELL("protect",H2)=0</formula>
    </cfRule>
  </conditionalFormatting>
  <conditionalFormatting sqref="B15:K15">
    <cfRule type="expression" dxfId="22" priority="4">
      <formula>INDEX(Name,$A15)=""</formula>
    </cfRule>
  </conditionalFormatting>
  <conditionalFormatting sqref="E3:L3">
    <cfRule type="expression" dxfId="21" priority="2">
      <formula>INDEX(Name,$A3)=""</formula>
    </cfRule>
  </conditionalFormatting>
  <conditionalFormatting sqref="F3:G3">
    <cfRule type="expression" dxfId="20" priority="3">
      <formula>AND(OR($D3="FP",$D3="FQ"),$E3="")</formula>
    </cfRule>
  </conditionalFormatting>
  <conditionalFormatting sqref="B6:K6">
    <cfRule type="expression" dxfId="19" priority="1">
      <formula>INDEX(Name,$A6)=""</formula>
    </cfRule>
  </conditionalFormatting>
  <dataValidations count="3">
    <dataValidation type="whole" operator="greaterThanOrEqual" allowBlank="1" showInputMessage="1" showErrorMessage="1" error="Input must be integer greater than or equal zero" sqref="D3:I3" xr:uid="{3AC9423E-B9B7-42F7-8687-7D2AC75025A6}">
      <formula1>0</formula1>
    </dataValidation>
    <dataValidation type="whole" operator="greaterThanOrEqual" allowBlank="1" showInputMessage="1" showErrorMessage="1" errorTitle="Values" error="Input must be integer greater than or equal zero" sqref="K3 B6:K6" xr:uid="{1D5C9E98-88DE-40F4-929D-B13EB1595EB4}">
      <formula1>0</formula1>
    </dataValidation>
    <dataValidation type="decimal" operator="greaterThanOrEqual" allowBlank="1" showInputMessage="1" showErrorMessage="1" errorTitle="Values" error="Input must be greater than or equal zero" sqref="L3" xr:uid="{4F8F0336-6135-4412-A881-A73170E5BB49}">
      <formula1>0</formula1>
    </dataValidation>
  </dataValidations>
  <pageMargins left="0.7" right="0.7" top="0.75" bottom="0.75" header="0.3" footer="0.3"/>
  <drawing r:id="rId1"/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0E30-421A-487A-869C-650A5DEB1EBB}">
  <sheetPr codeName="גיליון11">
    <tabColor theme="5" tint="0.39997558519241921"/>
  </sheetPr>
  <dimension ref="A1:O15"/>
  <sheetViews>
    <sheetView showGridLines="0" workbookViewId="0">
      <selection activeCell="D3" sqref="D3:N3"/>
    </sheetView>
  </sheetViews>
  <sheetFormatPr defaultRowHeight="14.25" x14ac:dyDescent="0.2"/>
  <sheetData>
    <row r="1" spans="1:15" ht="15.75" thickBot="1" x14ac:dyDescent="0.25">
      <c r="A1" s="1" t="s">
        <v>69</v>
      </c>
    </row>
    <row r="2" spans="1:15" ht="15.75" thickBot="1" x14ac:dyDescent="0.25">
      <c r="D2" s="22" t="s">
        <v>3</v>
      </c>
      <c r="E2" s="3" t="s">
        <v>4</v>
      </c>
      <c r="F2" s="3" t="s">
        <v>5</v>
      </c>
      <c r="G2" s="3" t="s">
        <v>6</v>
      </c>
      <c r="H2" s="3" t="s">
        <v>19</v>
      </c>
      <c r="I2" s="3" t="s">
        <v>20</v>
      </c>
      <c r="J2" s="3" t="s">
        <v>14</v>
      </c>
      <c r="K2" s="3" t="s">
        <v>15</v>
      </c>
      <c r="L2" s="3" t="s">
        <v>21</v>
      </c>
      <c r="M2" s="3" t="s">
        <v>22</v>
      </c>
      <c r="N2" s="4" t="s">
        <v>23</v>
      </c>
    </row>
    <row r="3" spans="1:15" ht="15.75" thickBot="1" x14ac:dyDescent="0.3">
      <c r="A3" s="23" t="s">
        <v>17</v>
      </c>
      <c r="B3" s="24" t="s">
        <v>65</v>
      </c>
      <c r="D3" s="56"/>
      <c r="E3" s="57"/>
      <c r="F3" s="57"/>
      <c r="G3" s="57"/>
      <c r="H3" s="57"/>
      <c r="I3" s="57"/>
      <c r="J3" s="57"/>
      <c r="K3" s="57"/>
      <c r="L3" s="57"/>
      <c r="M3" s="62"/>
      <c r="N3" s="63"/>
    </row>
    <row r="4" spans="1:15" ht="15" thickBot="1" x14ac:dyDescent="0.25"/>
    <row r="5" spans="1:15" ht="15.75" thickBot="1" x14ac:dyDescent="0.25">
      <c r="A5" s="27" t="s">
        <v>51</v>
      </c>
      <c r="B5" s="22">
        <v>1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9</v>
      </c>
      <c r="K5" s="4">
        <v>10</v>
      </c>
    </row>
    <row r="6" spans="1:15" ht="28.5" x14ac:dyDescent="0.2">
      <c r="A6" s="28" t="s">
        <v>52</v>
      </c>
      <c r="B6" s="15"/>
      <c r="C6" s="8"/>
      <c r="D6" s="8"/>
      <c r="E6" s="8"/>
      <c r="F6" s="8"/>
      <c r="G6" s="8"/>
      <c r="H6" s="8"/>
      <c r="I6" s="8"/>
      <c r="J6" s="8"/>
      <c r="K6" s="10"/>
    </row>
    <row r="7" spans="1:15" x14ac:dyDescent="0.2">
      <c r="A7" s="29" t="s">
        <v>53</v>
      </c>
      <c r="B7" s="15"/>
      <c r="C7" s="15"/>
      <c r="D7" s="15"/>
      <c r="E7" s="15"/>
      <c r="F7" s="15"/>
      <c r="G7" s="15"/>
      <c r="H7" s="15"/>
      <c r="I7" s="15"/>
      <c r="J7" s="15"/>
      <c r="K7" s="51"/>
    </row>
    <row r="8" spans="1:15" ht="18.75" x14ac:dyDescent="0.2">
      <c r="A8" s="29" t="s">
        <v>54</v>
      </c>
      <c r="B8" s="15"/>
      <c r="C8" s="15"/>
      <c r="D8" s="15"/>
      <c r="E8" s="15"/>
      <c r="F8" s="15"/>
      <c r="G8" s="15"/>
      <c r="H8" s="15"/>
      <c r="I8" s="15"/>
      <c r="J8" s="15"/>
      <c r="K8" s="51"/>
    </row>
    <row r="9" spans="1:15" ht="18.75" x14ac:dyDescent="0.2">
      <c r="A9" s="29" t="s">
        <v>55</v>
      </c>
      <c r="B9" s="15"/>
      <c r="C9" s="8"/>
      <c r="D9" s="8"/>
      <c r="E9" s="8"/>
      <c r="F9" s="8"/>
      <c r="G9" s="8"/>
      <c r="H9" s="8"/>
      <c r="I9" s="8"/>
      <c r="J9" s="8"/>
      <c r="K9" s="10"/>
    </row>
    <row r="10" spans="1:15" ht="18.75" x14ac:dyDescent="0.2">
      <c r="A10" s="29" t="s">
        <v>56</v>
      </c>
      <c r="B10" s="15"/>
      <c r="C10" s="8"/>
      <c r="D10" s="8"/>
      <c r="E10" s="8"/>
      <c r="F10" s="8"/>
      <c r="G10" s="8"/>
      <c r="H10" s="8"/>
      <c r="I10" s="8"/>
      <c r="J10" s="8"/>
      <c r="K10" s="10"/>
    </row>
    <row r="11" spans="1:15" ht="18.75" x14ac:dyDescent="0.2">
      <c r="A11" s="29" t="s">
        <v>57</v>
      </c>
      <c r="B11" s="15"/>
      <c r="C11" s="8"/>
      <c r="D11" s="8"/>
      <c r="E11" s="8"/>
      <c r="F11" s="8"/>
      <c r="G11" s="8"/>
      <c r="H11" s="8"/>
      <c r="I11" s="8"/>
      <c r="J11" s="8"/>
      <c r="K11" s="10"/>
    </row>
    <row r="12" spans="1:15" ht="18.75" x14ac:dyDescent="0.2">
      <c r="A12" s="29" t="s">
        <v>58</v>
      </c>
      <c r="B12" s="15"/>
      <c r="C12" s="8"/>
      <c r="D12" s="8"/>
      <c r="E12" s="8"/>
      <c r="F12" s="8"/>
      <c r="G12" s="8"/>
      <c r="H12" s="8"/>
      <c r="I12" s="8"/>
      <c r="J12" s="8"/>
      <c r="K12" s="10"/>
    </row>
    <row r="13" spans="1:15" ht="18.75" x14ac:dyDescent="0.2">
      <c r="A13" s="29" t="s">
        <v>91</v>
      </c>
      <c r="B13" s="25"/>
      <c r="C13" s="25"/>
      <c r="D13" s="25"/>
      <c r="E13" s="25"/>
      <c r="F13" s="25"/>
      <c r="G13" s="25"/>
      <c r="H13" s="25"/>
      <c r="I13" s="25"/>
      <c r="J13" s="25"/>
      <c r="K13" s="26"/>
    </row>
    <row r="14" spans="1:15" ht="18.75" x14ac:dyDescent="0.2">
      <c r="A14" s="29" t="s">
        <v>92</v>
      </c>
      <c r="B14" s="25"/>
      <c r="C14" s="25"/>
      <c r="D14" s="25"/>
      <c r="E14" s="25"/>
      <c r="F14" s="25"/>
      <c r="G14" s="25"/>
      <c r="H14" s="25"/>
      <c r="I14" s="25"/>
      <c r="J14" s="25"/>
      <c r="K14" s="26"/>
    </row>
    <row r="15" spans="1:15" ht="19.5" thickBot="1" x14ac:dyDescent="0.25">
      <c r="A15" s="30" t="s">
        <v>59</v>
      </c>
      <c r="B15" s="9"/>
      <c r="C15" s="9"/>
      <c r="D15" s="9"/>
      <c r="E15" s="9"/>
      <c r="F15" s="9"/>
      <c r="G15" s="9"/>
      <c r="H15" s="9"/>
      <c r="I15" s="9"/>
      <c r="J15" s="9"/>
      <c r="K15" s="11"/>
      <c r="O15" t="s">
        <v>67</v>
      </c>
    </row>
  </sheetData>
  <conditionalFormatting sqref="B6:K12">
    <cfRule type="expression" dxfId="18" priority="14">
      <formula>INDEX(Name,$A6)=""</formula>
    </cfRule>
  </conditionalFormatting>
  <conditionalFormatting sqref="D2:G2">
    <cfRule type="expression" dxfId="17" priority="12">
      <formula>CELL("protect",D2)=0</formula>
    </cfRule>
  </conditionalFormatting>
  <conditionalFormatting sqref="I2 K2:N2">
    <cfRule type="expression" dxfId="16" priority="11">
      <formula>CELL("protect",I2)=0</formula>
    </cfRule>
  </conditionalFormatting>
  <conditionalFormatting sqref="J2">
    <cfRule type="expression" dxfId="15" priority="10">
      <formula>CELL("protect",J2)=0</formula>
    </cfRule>
  </conditionalFormatting>
  <conditionalFormatting sqref="H2">
    <cfRule type="expression" dxfId="14" priority="9">
      <formula>CELL("protect",H2)=0</formula>
    </cfRule>
  </conditionalFormatting>
  <conditionalFormatting sqref="B15:K15">
    <cfRule type="expression" dxfId="13" priority="5">
      <formula>INDEX(Name,$A15)=""</formula>
    </cfRule>
  </conditionalFormatting>
  <conditionalFormatting sqref="E3:L3">
    <cfRule type="expression" dxfId="12" priority="1">
      <formula>INDEX(Name,$A3)=""</formula>
    </cfRule>
  </conditionalFormatting>
  <conditionalFormatting sqref="F3:G3">
    <cfRule type="expression" dxfId="11" priority="2">
      <formula>AND(OR($D3="FP",$D3="FQ"),$E3="")</formula>
    </cfRule>
  </conditionalFormatting>
  <dataValidations count="3">
    <dataValidation type="whole" operator="greaterThanOrEqual" allowBlank="1" showInputMessage="1" showErrorMessage="1" error="Input must be integer greater than or equal zero" sqref="D3:I3" xr:uid="{CCA3108B-8D24-44B9-96B9-8A7646659674}">
      <formula1>0</formula1>
    </dataValidation>
    <dataValidation type="whole" operator="greaterThanOrEqual" allowBlank="1" showInputMessage="1" showErrorMessage="1" errorTitle="Values" error="Input must be integer greater than or equal zero" sqref="K3" xr:uid="{E773D986-3E1E-435E-8DB0-D0F1FFD3CB55}">
      <formula1>0</formula1>
    </dataValidation>
    <dataValidation type="decimal" operator="greaterThanOrEqual" allowBlank="1" showInputMessage="1" showErrorMessage="1" errorTitle="Values" error="Input must be greater than or equal zero" sqref="L3" xr:uid="{E935F3A8-931E-4CE8-9758-9EC5DB2EC52B}">
      <formula1>0</formula1>
    </dataValidation>
  </dataValidations>
  <pageMargins left="0.7" right="0.7" top="0.75" bottom="0.75" header="0.3" footer="0.3"/>
  <drawing r:id="rId1"/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B2D-82EE-48EA-AE75-2B107D50E88F}">
  <sheetPr codeName="גיליון12">
    <tabColor theme="8" tint="-0.249977111117893"/>
  </sheetPr>
  <dimension ref="A1:L16"/>
  <sheetViews>
    <sheetView workbookViewId="0">
      <selection activeCell="C10" sqref="C10"/>
    </sheetView>
  </sheetViews>
  <sheetFormatPr defaultRowHeight="14.25" x14ac:dyDescent="0.2"/>
  <sheetData>
    <row r="1" spans="1:12" ht="15.75" thickBot="1" x14ac:dyDescent="0.3">
      <c r="A1" s="34" t="s">
        <v>70</v>
      </c>
    </row>
    <row r="2" spans="1:12" ht="15.75" thickBot="1" x14ac:dyDescent="0.25">
      <c r="A2" s="22" t="s">
        <v>71</v>
      </c>
      <c r="B2" s="4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ht="15" thickBot="1" x14ac:dyDescent="0.25">
      <c r="A3" s="48"/>
      <c r="B3" s="13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ht="15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ht="15.75" thickBot="1" x14ac:dyDescent="0.25">
      <c r="A6" s="43" t="s">
        <v>51</v>
      </c>
      <c r="B6" s="14">
        <v>0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4">
        <v>10</v>
      </c>
    </row>
    <row r="7" spans="1:12" x14ac:dyDescent="0.2">
      <c r="A7" s="44" t="s">
        <v>72</v>
      </c>
      <c r="B7" s="41"/>
      <c r="C7" s="6"/>
      <c r="D7" s="6"/>
      <c r="E7" s="6"/>
      <c r="F7" s="6"/>
      <c r="G7" s="6"/>
      <c r="H7" s="6"/>
      <c r="I7" s="6"/>
      <c r="J7" s="6"/>
      <c r="K7" s="6"/>
      <c r="L7" s="7"/>
    </row>
    <row r="8" spans="1:12" x14ac:dyDescent="0.2">
      <c r="A8" s="45" t="s">
        <v>73</v>
      </c>
      <c r="B8" s="36"/>
      <c r="C8" s="37"/>
      <c r="D8" s="37"/>
      <c r="E8" s="37"/>
      <c r="F8" s="37"/>
      <c r="G8" s="37"/>
      <c r="H8" s="37"/>
      <c r="I8" s="37"/>
      <c r="J8" s="37"/>
      <c r="K8" s="37"/>
      <c r="L8" s="38"/>
    </row>
    <row r="9" spans="1:12" x14ac:dyDescent="0.2">
      <c r="A9" s="45" t="s">
        <v>74</v>
      </c>
      <c r="B9" s="36"/>
      <c r="C9" s="37"/>
      <c r="D9" s="37"/>
      <c r="E9" s="37"/>
      <c r="F9" s="37"/>
      <c r="G9" s="37"/>
      <c r="H9" s="37"/>
      <c r="I9" s="37"/>
      <c r="J9" s="37"/>
      <c r="K9" s="37"/>
      <c r="L9" s="38"/>
    </row>
    <row r="10" spans="1:12" x14ac:dyDescent="0.2">
      <c r="A10" s="45" t="s">
        <v>75</v>
      </c>
      <c r="B10" s="36"/>
      <c r="C10" s="37"/>
      <c r="D10" s="37"/>
      <c r="E10" s="37"/>
      <c r="F10" s="37"/>
      <c r="G10" s="37"/>
      <c r="H10" s="37"/>
      <c r="I10" s="37"/>
      <c r="J10" s="37"/>
      <c r="K10" s="37"/>
      <c r="L10" s="38"/>
    </row>
    <row r="11" spans="1:12" ht="15" thickBot="1" x14ac:dyDescent="0.25">
      <c r="A11" s="46"/>
      <c r="B11" s="42"/>
      <c r="C11" s="39"/>
      <c r="D11" s="39"/>
      <c r="E11" s="39"/>
      <c r="F11" s="39"/>
      <c r="G11" s="39"/>
      <c r="H11" s="39"/>
      <c r="I11" s="39"/>
      <c r="J11" s="39"/>
      <c r="K11" s="39"/>
      <c r="L11" s="40"/>
    </row>
    <row r="12" spans="1:12" x14ac:dyDescent="0.2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</row>
    <row r="13" spans="1:12" x14ac:dyDescent="0.2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</row>
    <row r="14" spans="1:12" x14ac:dyDescent="0.2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x14ac:dyDescent="0.2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 x14ac:dyDescent="0.2">
      <c r="A16" s="35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</row>
  </sheetData>
  <dataValidations count="2">
    <dataValidation type="whole" operator="greaterThanOrEqual" showInputMessage="1" showErrorMessage="1" errorTitle="Values" error="V must be a positive integer" sqref="C7:L7" xr:uid="{434C42F5-242A-45E6-96DA-B70CA6A2656B}">
      <formula1>0</formula1>
    </dataValidation>
    <dataValidation type="decimal" operator="greaterThanOrEqual" showInputMessage="1" showErrorMessage="1" errorTitle="Values" error="k,h must be positive numbers" sqref="A3:B3" xr:uid="{33D22A51-218F-41F4-8AFE-B6708F912869}">
      <formula1>0</formula1>
    </dataValidation>
  </dataValidations>
  <pageMargins left="0.7" right="0.7" top="0.75" bottom="0.75" header="0.3" footer="0.3"/>
  <drawing r:id="rId1"/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59F6-FDE1-4D74-A0E7-3236EE43F451}">
  <sheetPr codeName="גיליון13">
    <tabColor theme="8" tint="-0.249977111117893"/>
  </sheetPr>
  <dimension ref="A1:L9"/>
  <sheetViews>
    <sheetView workbookViewId="0">
      <selection activeCell="C8" sqref="C8"/>
    </sheetView>
  </sheetViews>
  <sheetFormatPr defaultRowHeight="14.25" x14ac:dyDescent="0.2"/>
  <sheetData>
    <row r="1" spans="1:12" ht="15.75" thickBot="1" x14ac:dyDescent="0.3">
      <c r="A1" s="34" t="s">
        <v>78</v>
      </c>
    </row>
    <row r="2" spans="1:12" ht="15.75" thickBot="1" x14ac:dyDescent="0.25">
      <c r="A2" s="22" t="s">
        <v>71</v>
      </c>
      <c r="B2" s="4" t="s">
        <v>6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2" ht="15" thickBot="1" x14ac:dyDescent="0.25">
      <c r="A3" s="48"/>
      <c r="B3" s="13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2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 ht="15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</row>
    <row r="6" spans="1:12" ht="15.75" thickBot="1" x14ac:dyDescent="0.25">
      <c r="A6" s="43" t="s">
        <v>51</v>
      </c>
      <c r="B6" s="14">
        <v>0</v>
      </c>
      <c r="C6" s="3">
        <v>1</v>
      </c>
      <c r="D6" s="3">
        <v>2</v>
      </c>
      <c r="E6" s="3">
        <v>3</v>
      </c>
      <c r="F6" s="3">
        <v>4</v>
      </c>
      <c r="G6" s="3">
        <v>5</v>
      </c>
      <c r="H6" s="3">
        <v>6</v>
      </c>
      <c r="I6" s="3">
        <v>7</v>
      </c>
      <c r="J6" s="3">
        <v>8</v>
      </c>
      <c r="K6" s="3">
        <v>9</v>
      </c>
      <c r="L6" s="4">
        <v>10</v>
      </c>
    </row>
    <row r="7" spans="1:12" x14ac:dyDescent="0.2">
      <c r="A7" s="44" t="s">
        <v>72</v>
      </c>
      <c r="B7" s="41"/>
      <c r="C7" s="6"/>
      <c r="D7" s="6"/>
      <c r="E7" s="6"/>
      <c r="F7" s="6"/>
      <c r="G7" s="6"/>
      <c r="H7" s="6"/>
      <c r="I7" s="6"/>
      <c r="J7" s="6"/>
      <c r="K7" s="6"/>
      <c r="L7" s="7"/>
    </row>
    <row r="8" spans="1:12" x14ac:dyDescent="0.2">
      <c r="A8" s="45" t="s">
        <v>73</v>
      </c>
      <c r="B8" s="36"/>
      <c r="C8" s="37"/>
      <c r="D8" s="37"/>
      <c r="E8" s="37"/>
      <c r="F8" s="37"/>
      <c r="G8" s="37"/>
      <c r="H8" s="37"/>
      <c r="I8" s="37"/>
      <c r="J8" s="37"/>
      <c r="K8" s="37"/>
      <c r="L8" s="38"/>
    </row>
    <row r="9" spans="1:12" ht="15" thickBot="1" x14ac:dyDescent="0.25">
      <c r="A9" s="46" t="s">
        <v>75</v>
      </c>
      <c r="B9" s="42"/>
      <c r="C9" s="39"/>
      <c r="D9" s="39"/>
      <c r="E9" s="39"/>
      <c r="F9" s="39"/>
      <c r="G9" s="39"/>
      <c r="H9" s="39"/>
      <c r="I9" s="39"/>
      <c r="J9" s="39"/>
      <c r="K9" s="39"/>
      <c r="L9" s="40"/>
    </row>
  </sheetData>
  <dataValidations count="2">
    <dataValidation type="decimal" operator="greaterThanOrEqual" showInputMessage="1" showErrorMessage="1" errorTitle="Values" error="k,h must be positive numbers" sqref="A3:B3" xr:uid="{65E8ADF3-A36D-4AEE-A494-9AA42F049469}">
      <formula1>0</formula1>
    </dataValidation>
    <dataValidation type="whole" operator="greaterThanOrEqual" showInputMessage="1" showErrorMessage="1" errorTitle="Values" error="V must be a positive integer" sqref="C7:L7" xr:uid="{F73EE5C8-FD81-4AA0-A277-5990947011F0}">
      <formula1>0</formula1>
    </dataValidation>
  </dataValidations>
  <pageMargins left="0.7" right="0.7" top="0.75" bottom="0.75" header="0.3" footer="0.3"/>
  <drawing r:id="rId1"/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A717C-4DA4-46EC-B128-351394C7F7EF}">
  <sheetPr codeName="גיליון15">
    <tabColor theme="8" tint="-0.249977111117893"/>
  </sheetPr>
  <dimension ref="A1:K8"/>
  <sheetViews>
    <sheetView workbookViewId="0">
      <selection activeCell="B8" sqref="B8:K8"/>
    </sheetView>
  </sheetViews>
  <sheetFormatPr defaultRowHeight="14.25" x14ac:dyDescent="0.2"/>
  <sheetData>
    <row r="1" spans="1:11" ht="15.75" thickBot="1" x14ac:dyDescent="0.25">
      <c r="A1" s="1" t="s">
        <v>77</v>
      </c>
    </row>
    <row r="2" spans="1:11" ht="15.75" thickBot="1" x14ac:dyDescent="0.25">
      <c r="A2" s="22" t="s">
        <v>71</v>
      </c>
      <c r="B2" s="4" t="s">
        <v>6</v>
      </c>
      <c r="E2" s="47"/>
      <c r="F2" s="47"/>
      <c r="G2" s="47"/>
      <c r="H2" s="47"/>
      <c r="I2" s="47"/>
      <c r="J2" s="47"/>
    </row>
    <row r="3" spans="1:11" ht="15" thickBot="1" x14ac:dyDescent="0.25">
      <c r="A3" s="48"/>
      <c r="B3" s="13"/>
      <c r="D3" s="35"/>
      <c r="E3" s="35"/>
      <c r="F3" s="35"/>
      <c r="G3" s="35"/>
      <c r="H3" s="35"/>
      <c r="I3" s="35"/>
      <c r="J3" s="35"/>
    </row>
    <row r="4" spans="1:11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</row>
    <row r="5" spans="1:11" ht="15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</row>
    <row r="6" spans="1:11" ht="15.75" thickBot="1" x14ac:dyDescent="0.25">
      <c r="A6" s="43" t="s">
        <v>51</v>
      </c>
      <c r="B6" s="14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4">
        <v>10</v>
      </c>
    </row>
    <row r="7" spans="1:11" x14ac:dyDescent="0.2">
      <c r="A7" s="44" t="s">
        <v>72</v>
      </c>
      <c r="B7" s="50"/>
      <c r="C7" s="6"/>
      <c r="D7" s="6"/>
      <c r="E7" s="6"/>
      <c r="F7" s="6"/>
      <c r="G7" s="6"/>
      <c r="H7" s="6"/>
      <c r="I7" s="6"/>
      <c r="J7" s="6"/>
      <c r="K7" s="7"/>
    </row>
    <row r="8" spans="1:11" ht="15" thickBot="1" x14ac:dyDescent="0.25">
      <c r="A8" s="46" t="s">
        <v>73</v>
      </c>
      <c r="B8" s="49"/>
      <c r="C8" s="39"/>
      <c r="D8" s="39"/>
      <c r="E8" s="39"/>
      <c r="F8" s="39"/>
      <c r="G8" s="39"/>
      <c r="H8" s="39"/>
      <c r="I8" s="39"/>
      <c r="J8" s="39"/>
      <c r="K8" s="40"/>
    </row>
  </sheetData>
  <conditionalFormatting sqref="B8:K8">
    <cfRule type="expression" dxfId="10" priority="2" stopIfTrue="1">
      <formula>AND(ID&lt;&gt;0,INDEX(LOT,ID)&lt;&gt;"FP")</formula>
    </cfRule>
  </conditionalFormatting>
  <conditionalFormatting sqref="B8:K8">
    <cfRule type="expression" dxfId="9" priority="1" stopIfTrue="1">
      <formula>AND(ID&lt;&gt;0,INDEX(LOT,ID)&lt;&gt;"FP")</formula>
    </cfRule>
  </conditionalFormatting>
  <dataValidations count="2">
    <dataValidation type="whole" operator="greaterThanOrEqual" showInputMessage="1" showErrorMessage="1" errorTitle="Values" error="V must be a positive integer" sqref="B7:K7" xr:uid="{AB84575B-70D8-4681-990A-D7288C6DC2EE}">
      <formula1>0</formula1>
    </dataValidation>
    <dataValidation type="decimal" operator="greaterThanOrEqual" showInputMessage="1" showErrorMessage="1" errorTitle="Values" error="k,h must be positive numbers" sqref="A3:C3" xr:uid="{9AF57D80-6EE9-4D50-8ACC-B8A9A6AC8C74}">
      <formula1>0</formula1>
    </dataValidation>
  </dataValidations>
  <pageMargins left="0.7" right="0.7" top="0.75" bottom="0.75" header="0.3" footer="0.3"/>
  <drawing r:id="rId1"/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A8B18-C793-47AF-962D-FAA1D18E1D2B}">
  <sheetPr codeName="גיליון14">
    <tabColor theme="8" tint="-0.249977111117893"/>
  </sheetPr>
  <dimension ref="A1:K8"/>
  <sheetViews>
    <sheetView workbookViewId="0">
      <selection activeCell="C19" sqref="C19"/>
    </sheetView>
  </sheetViews>
  <sheetFormatPr defaultRowHeight="14.25" x14ac:dyDescent="0.2"/>
  <sheetData>
    <row r="1" spans="1:11" ht="15.75" thickBot="1" x14ac:dyDescent="0.25">
      <c r="A1" s="1" t="s">
        <v>76</v>
      </c>
    </row>
    <row r="2" spans="1:11" ht="15.75" thickBot="1" x14ac:dyDescent="0.25">
      <c r="A2" s="22" t="s">
        <v>71</v>
      </c>
      <c r="B2" s="3" t="s">
        <v>6</v>
      </c>
      <c r="C2" s="4" t="s">
        <v>90</v>
      </c>
      <c r="E2" s="47"/>
      <c r="F2" s="47"/>
      <c r="G2" s="47"/>
      <c r="H2" s="47"/>
      <c r="I2" s="47"/>
      <c r="J2" s="47"/>
    </row>
    <row r="3" spans="1:11" ht="15" thickBot="1" x14ac:dyDescent="0.25">
      <c r="A3" s="48"/>
      <c r="B3" s="12"/>
      <c r="C3" s="13"/>
      <c r="D3" s="35"/>
      <c r="E3" s="35"/>
      <c r="F3" s="35"/>
      <c r="G3" s="35"/>
      <c r="H3" s="35"/>
      <c r="I3" s="35"/>
      <c r="J3" s="35"/>
    </row>
    <row r="4" spans="1:11" x14ac:dyDescent="0.2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</row>
    <row r="5" spans="1:11" ht="15" thickBot="1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</row>
    <row r="6" spans="1:11" ht="15.75" thickBot="1" x14ac:dyDescent="0.25">
      <c r="A6" s="43" t="s">
        <v>51</v>
      </c>
      <c r="B6" s="14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>
        <v>8</v>
      </c>
      <c r="J6" s="3">
        <v>9</v>
      </c>
      <c r="K6" s="4">
        <v>10</v>
      </c>
    </row>
    <row r="7" spans="1:11" x14ac:dyDescent="0.2">
      <c r="A7" s="44" t="s">
        <v>72</v>
      </c>
      <c r="B7" s="50"/>
      <c r="C7" s="6"/>
      <c r="D7" s="6"/>
      <c r="E7" s="6"/>
      <c r="F7" s="6"/>
      <c r="G7" s="6"/>
      <c r="H7" s="6"/>
      <c r="I7" s="6"/>
      <c r="J7" s="6"/>
      <c r="K7" s="7"/>
    </row>
    <row r="8" spans="1:11" ht="15" thickBot="1" x14ac:dyDescent="0.25">
      <c r="A8" s="46" t="s">
        <v>73</v>
      </c>
      <c r="B8" s="49"/>
      <c r="C8" s="39"/>
      <c r="D8" s="39"/>
      <c r="E8" s="39"/>
      <c r="F8" s="39"/>
      <c r="G8" s="39"/>
      <c r="H8" s="39"/>
      <c r="I8" s="39"/>
      <c r="J8" s="39"/>
      <c r="K8" s="40"/>
    </row>
  </sheetData>
  <conditionalFormatting sqref="B8:K8">
    <cfRule type="expression" dxfId="8" priority="2" stopIfTrue="1">
      <formula>AND(ID&lt;&gt;0,INDEX(LOT,ID)&lt;&gt;"FP")</formula>
    </cfRule>
  </conditionalFormatting>
  <conditionalFormatting sqref="B8:K8">
    <cfRule type="expression" dxfId="7" priority="1" stopIfTrue="1">
      <formula>AND(ID&lt;&gt;0,INDEX(LOT,ID)&lt;&gt;"FP")</formula>
    </cfRule>
  </conditionalFormatting>
  <dataValidations count="2">
    <dataValidation type="decimal" operator="greaterThanOrEqual" showInputMessage="1" showErrorMessage="1" errorTitle="Values" error="k,h must be positive numbers" sqref="A3:C3" xr:uid="{3BE22F2D-D3E7-4F57-9A7C-025E454CCD4F}">
      <formula1>0</formula1>
    </dataValidation>
    <dataValidation type="whole" operator="greaterThanOrEqual" showInputMessage="1" showErrorMessage="1" errorTitle="Values" error="V must be a positive integer" sqref="B7:K7" xr:uid="{2B6D112B-2C01-4F7C-B1FD-6278A811B8A8}">
      <formula1>0</formula1>
    </dataValidation>
  </dataValidations>
  <pageMargins left="0.7" right="0.7" top="0.75" bottom="0.75" header="0.3" footer="0.3"/>
  <drawing r:id="rId1"/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DEE-5308-45A7-8699-D024B35B6642}">
  <sheetPr codeName="גיליון18">
    <tabColor rgb="FFFF0000"/>
  </sheetPr>
  <dimension ref="A1:AJ45"/>
  <sheetViews>
    <sheetView zoomScale="85" zoomScaleNormal="85" workbookViewId="0">
      <selection activeCell="U9" sqref="U9"/>
    </sheetView>
  </sheetViews>
  <sheetFormatPr defaultRowHeight="14.25" x14ac:dyDescent="0.2"/>
  <cols>
    <col min="1" max="1" width="3.125" bestFit="1" customWidth="1"/>
    <col min="2" max="2" width="13.375" customWidth="1"/>
    <col min="3" max="3" width="10.25" customWidth="1"/>
    <col min="4" max="4" width="9.375" customWidth="1"/>
    <col min="5" max="5" width="12" customWidth="1"/>
    <col min="11" max="11" width="12.25" customWidth="1"/>
    <col min="12" max="12" width="7.75" customWidth="1"/>
    <col min="14" max="14" width="10.375" customWidth="1"/>
    <col min="15" max="15" width="3.125" bestFit="1" customWidth="1"/>
    <col min="16" max="16" width="8.75" customWidth="1"/>
    <col min="17" max="17" width="10" bestFit="1" customWidth="1"/>
    <col min="18" max="18" width="5.375" bestFit="1" customWidth="1"/>
    <col min="20" max="20" width="11.25" customWidth="1"/>
  </cols>
  <sheetData>
    <row r="1" spans="1:36" ht="15.75" x14ac:dyDescent="0.25">
      <c r="B1" s="66" t="s">
        <v>93</v>
      </c>
      <c r="C1" s="2"/>
      <c r="D1" s="2"/>
      <c r="E1" s="66" t="s">
        <v>199</v>
      </c>
      <c r="F1" s="86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36" ht="15.75" x14ac:dyDescent="0.25">
      <c r="A2" s="2"/>
      <c r="B2" s="2" t="s">
        <v>198</v>
      </c>
      <c r="C2" s="2"/>
      <c r="D2" s="2"/>
      <c r="E2" s="2"/>
      <c r="F2" s="2"/>
      <c r="G2" s="2"/>
      <c r="H2" s="2"/>
      <c r="I2" s="2"/>
      <c r="J2" s="2"/>
      <c r="K2" s="2"/>
      <c r="M2" s="85" t="s">
        <v>197</v>
      </c>
      <c r="O2" s="84"/>
      <c r="P2" s="83" t="s">
        <v>196</v>
      </c>
      <c r="Q2" s="66" t="s">
        <v>195</v>
      </c>
      <c r="R2" s="2" t="s">
        <v>194</v>
      </c>
      <c r="S2" s="2">
        <f>SUM(S4:S14)*N4</f>
        <v>0</v>
      </c>
      <c r="T2" s="2">
        <f>SUM(T4:T14)</f>
        <v>1</v>
      </c>
      <c r="U2" s="2">
        <f>SUM(U4:U14)</f>
        <v>11</v>
      </c>
      <c r="V2" s="2">
        <f>SUM(V4:V14)</f>
        <v>0</v>
      </c>
      <c r="W2" s="2">
        <f>SUM(W4:W14)</f>
        <v>0</v>
      </c>
      <c r="X2" s="2">
        <f>SUM(X4:X14)</f>
        <v>0</v>
      </c>
      <c r="Y2" s="116" t="s">
        <v>202</v>
      </c>
      <c r="Z2" s="116"/>
    </row>
    <row r="3" spans="1:36" ht="15.75" customHeight="1" thickBot="1" x14ac:dyDescent="0.3">
      <c r="A3" s="2" t="s">
        <v>51</v>
      </c>
      <c r="B3" s="2" t="s">
        <v>193</v>
      </c>
      <c r="C3" s="2" t="s">
        <v>188</v>
      </c>
      <c r="D3" s="2" t="s">
        <v>192</v>
      </c>
      <c r="E3" s="2" t="s">
        <v>188</v>
      </c>
      <c r="F3" s="2" t="s">
        <v>191</v>
      </c>
      <c r="G3" s="2" t="s">
        <v>188</v>
      </c>
      <c r="H3" s="2" t="s">
        <v>190</v>
      </c>
      <c r="I3" s="2" t="s">
        <v>188</v>
      </c>
      <c r="J3" s="2" t="s">
        <v>189</v>
      </c>
      <c r="K3" s="2" t="s">
        <v>188</v>
      </c>
      <c r="L3" s="82"/>
      <c r="M3" s="2"/>
      <c r="N3" s="81" t="s">
        <v>188</v>
      </c>
      <c r="O3" s="80" t="s">
        <v>51</v>
      </c>
      <c r="P3" s="79" t="s">
        <v>173</v>
      </c>
      <c r="Q3" s="78"/>
      <c r="R3" s="68" t="s">
        <v>51</v>
      </c>
      <c r="S3" s="68" t="s">
        <v>146</v>
      </c>
      <c r="T3" s="68" t="s">
        <v>187</v>
      </c>
      <c r="U3" s="68" t="s">
        <v>186</v>
      </c>
      <c r="V3" s="68" t="s">
        <v>185</v>
      </c>
      <c r="W3" s="68" t="s">
        <v>184</v>
      </c>
      <c r="X3" s="68" t="s">
        <v>183</v>
      </c>
      <c r="Y3" s="77" t="s">
        <v>182</v>
      </c>
      <c r="Z3" s="76">
        <f>SUM(V2:W2)+T2*$N$5*$N$7+U2*$N$6*$N$8</f>
        <v>0</v>
      </c>
      <c r="AC3" s="117" t="s">
        <v>201</v>
      </c>
      <c r="AD3" s="117"/>
      <c r="AE3" s="117"/>
    </row>
    <row r="4" spans="1:36" x14ac:dyDescent="0.2">
      <c r="A4" s="2">
        <v>0</v>
      </c>
      <c r="B4" s="2" t="s">
        <v>200</v>
      </c>
      <c r="C4" s="107">
        <v>0</v>
      </c>
      <c r="D4" s="2" t="s">
        <v>181</v>
      </c>
      <c r="E4" s="107">
        <v>0</v>
      </c>
      <c r="F4" s="2" t="s">
        <v>141</v>
      </c>
      <c r="G4" s="2">
        <f t="shared" ref="G4:G14" si="0">IF(C4&gt;0,1,0)</f>
        <v>0</v>
      </c>
      <c r="H4" s="2" t="s">
        <v>140</v>
      </c>
      <c r="I4" s="2">
        <f t="shared" ref="I4:I14" si="1">IF(E4&gt;0,1,0)</f>
        <v>0</v>
      </c>
      <c r="J4" s="2" t="s">
        <v>139</v>
      </c>
      <c r="K4" s="2">
        <f t="shared" ref="K4:K14" si="2">IF(AND(G4=1,I4=1),1,0)</f>
        <v>0</v>
      </c>
      <c r="L4" s="73"/>
      <c r="M4" s="2" t="s">
        <v>180</v>
      </c>
      <c r="N4" s="87"/>
      <c r="O4" s="72">
        <v>0</v>
      </c>
      <c r="P4" s="104"/>
      <c r="Q4" s="69"/>
      <c r="R4" s="68">
        <v>0</v>
      </c>
      <c r="S4" s="67">
        <v>0</v>
      </c>
      <c r="T4" s="67">
        <f t="shared" ref="T4:T14" si="3">C4</f>
        <v>0</v>
      </c>
      <c r="U4" s="67">
        <f t="shared" ref="U4:U14" si="4">E4</f>
        <v>0</v>
      </c>
      <c r="V4" s="67">
        <f>G4*$N$9+I4*$N$10+($N$11-$N$10-$N$9)*K4</f>
        <v>0</v>
      </c>
      <c r="W4" s="67">
        <f t="shared" ref="W4:W14" si="5">$N$4*S4</f>
        <v>0</v>
      </c>
      <c r="X4" s="106">
        <f t="shared" ref="X4:X13" si="6">C4*$N$5+E4*$N$6</f>
        <v>0</v>
      </c>
      <c r="Y4" s="2"/>
      <c r="Z4" s="2"/>
    </row>
    <row r="5" spans="1:36" ht="15" x14ac:dyDescent="0.25">
      <c r="A5" s="2">
        <v>1</v>
      </c>
      <c r="B5" s="2" t="s">
        <v>179</v>
      </c>
      <c r="C5" s="107">
        <v>0</v>
      </c>
      <c r="D5" s="2" t="s">
        <v>178</v>
      </c>
      <c r="E5" s="107">
        <v>2</v>
      </c>
      <c r="F5" s="2" t="s">
        <v>137</v>
      </c>
      <c r="G5" s="2">
        <f t="shared" si="0"/>
        <v>0</v>
      </c>
      <c r="H5" s="2" t="s">
        <v>136</v>
      </c>
      <c r="I5" s="2">
        <f t="shared" si="1"/>
        <v>1</v>
      </c>
      <c r="J5" s="2" t="s">
        <v>135</v>
      </c>
      <c r="K5" s="2">
        <f t="shared" si="2"/>
        <v>0</v>
      </c>
      <c r="L5" s="73"/>
      <c r="M5" s="2" t="s">
        <v>177</v>
      </c>
      <c r="N5" s="87"/>
      <c r="O5" s="72">
        <v>1</v>
      </c>
      <c r="P5" s="104"/>
      <c r="Q5" s="69"/>
      <c r="R5" s="68">
        <v>1</v>
      </c>
      <c r="S5" s="67">
        <f t="shared" ref="S5:S14" si="7">S4+X5-P5</f>
        <v>0</v>
      </c>
      <c r="T5" s="67">
        <f t="shared" si="3"/>
        <v>0</v>
      </c>
      <c r="U5" s="67">
        <f t="shared" si="4"/>
        <v>2</v>
      </c>
      <c r="V5" s="67">
        <f t="shared" ref="V5:V14" si="8">G5*$N$9+I5*$N$10+($N$11-$N$10-$N$9)*K5</f>
        <v>0</v>
      </c>
      <c r="W5" s="67">
        <f t="shared" si="5"/>
        <v>0</v>
      </c>
      <c r="X5" s="106">
        <f t="shared" si="6"/>
        <v>0</v>
      </c>
      <c r="Y5" s="2"/>
      <c r="Z5" s="75" t="s">
        <v>51</v>
      </c>
      <c r="AA5" s="75">
        <v>1</v>
      </c>
      <c r="AB5" s="75">
        <v>2</v>
      </c>
      <c r="AC5" s="75">
        <v>3</v>
      </c>
      <c r="AD5" s="75">
        <v>4</v>
      </c>
      <c r="AE5" s="75">
        <v>5</v>
      </c>
      <c r="AF5" s="75">
        <v>6</v>
      </c>
      <c r="AG5" s="75">
        <v>7</v>
      </c>
      <c r="AH5" s="75">
        <v>8</v>
      </c>
      <c r="AI5" s="75">
        <v>9</v>
      </c>
      <c r="AJ5" s="75">
        <v>10</v>
      </c>
    </row>
    <row r="6" spans="1:36" ht="15" x14ac:dyDescent="0.25">
      <c r="A6" s="2">
        <v>2</v>
      </c>
      <c r="B6" s="2" t="s">
        <v>176</v>
      </c>
      <c r="C6" s="107">
        <v>0</v>
      </c>
      <c r="D6" s="2" t="s">
        <v>175</v>
      </c>
      <c r="E6" s="107">
        <v>0</v>
      </c>
      <c r="F6" s="2" t="s">
        <v>133</v>
      </c>
      <c r="G6" s="2">
        <f t="shared" si="0"/>
        <v>0</v>
      </c>
      <c r="H6" s="2" t="s">
        <v>132</v>
      </c>
      <c r="I6" s="2">
        <f t="shared" si="1"/>
        <v>0</v>
      </c>
      <c r="J6" s="2" t="s">
        <v>131</v>
      </c>
      <c r="K6" s="2">
        <f t="shared" si="2"/>
        <v>0</v>
      </c>
      <c r="L6" s="73"/>
      <c r="M6" s="2" t="s">
        <v>174</v>
      </c>
      <c r="N6" s="87"/>
      <c r="O6" s="72">
        <v>2</v>
      </c>
      <c r="P6" s="104"/>
      <c r="Q6" s="69"/>
      <c r="R6" s="68">
        <v>2</v>
      </c>
      <c r="S6" s="67">
        <f t="shared" si="7"/>
        <v>0</v>
      </c>
      <c r="T6" s="67">
        <f t="shared" si="3"/>
        <v>0</v>
      </c>
      <c r="U6" s="67">
        <f t="shared" si="4"/>
        <v>0</v>
      </c>
      <c r="V6" s="67">
        <f t="shared" si="8"/>
        <v>0</v>
      </c>
      <c r="W6" s="67">
        <f t="shared" si="5"/>
        <v>0</v>
      </c>
      <c r="X6" s="106">
        <f t="shared" si="6"/>
        <v>0</v>
      </c>
      <c r="Y6" s="2"/>
      <c r="Z6" s="75" t="s">
        <v>173</v>
      </c>
      <c r="AA6" s="75">
        <f>P5</f>
        <v>0</v>
      </c>
      <c r="AB6" s="75">
        <f>P6</f>
        <v>0</v>
      </c>
      <c r="AC6" s="75">
        <f>P7</f>
        <v>0</v>
      </c>
      <c r="AD6" s="75">
        <f>P8</f>
        <v>0</v>
      </c>
      <c r="AE6" s="75">
        <f>P9</f>
        <v>0</v>
      </c>
      <c r="AF6" s="75">
        <f>P10</f>
        <v>0</v>
      </c>
      <c r="AG6" s="75">
        <f>P11</f>
        <v>0</v>
      </c>
      <c r="AH6" s="75">
        <f>P12</f>
        <v>0</v>
      </c>
      <c r="AI6" s="75">
        <f>P13</f>
        <v>0</v>
      </c>
      <c r="AJ6" s="75">
        <f>P14</f>
        <v>0</v>
      </c>
    </row>
    <row r="7" spans="1:36" ht="15" x14ac:dyDescent="0.25">
      <c r="A7" s="2">
        <v>3</v>
      </c>
      <c r="B7" s="2" t="s">
        <v>172</v>
      </c>
      <c r="C7" s="107">
        <v>0</v>
      </c>
      <c r="D7" s="2" t="s">
        <v>171</v>
      </c>
      <c r="E7" s="107">
        <v>3</v>
      </c>
      <c r="F7" s="2" t="s">
        <v>129</v>
      </c>
      <c r="G7" s="2">
        <f t="shared" si="0"/>
        <v>0</v>
      </c>
      <c r="H7" s="2" t="s">
        <v>128</v>
      </c>
      <c r="I7" s="2">
        <f t="shared" si="1"/>
        <v>1</v>
      </c>
      <c r="J7" s="2" t="s">
        <v>127</v>
      </c>
      <c r="K7" s="2">
        <f t="shared" si="2"/>
        <v>0</v>
      </c>
      <c r="L7" s="73"/>
      <c r="M7" s="2" t="s">
        <v>170</v>
      </c>
      <c r="N7" s="87"/>
      <c r="O7" s="72">
        <v>3</v>
      </c>
      <c r="P7" s="104"/>
      <c r="Q7" s="69"/>
      <c r="R7" s="68">
        <v>3</v>
      </c>
      <c r="S7" s="67">
        <f t="shared" si="7"/>
        <v>0</v>
      </c>
      <c r="T7" s="67">
        <f t="shared" si="3"/>
        <v>0</v>
      </c>
      <c r="U7" s="67">
        <f t="shared" si="4"/>
        <v>3</v>
      </c>
      <c r="V7" s="67">
        <f t="shared" si="8"/>
        <v>0</v>
      </c>
      <c r="W7" s="67">
        <f t="shared" si="5"/>
        <v>0</v>
      </c>
      <c r="X7" s="106">
        <f t="shared" si="6"/>
        <v>0</v>
      </c>
      <c r="Y7" s="2"/>
      <c r="Z7" s="75" t="s">
        <v>169</v>
      </c>
      <c r="AA7" s="75">
        <f>T5</f>
        <v>0</v>
      </c>
      <c r="AB7" s="75">
        <f>T6</f>
        <v>0</v>
      </c>
      <c r="AC7" s="75">
        <f>T7</f>
        <v>0</v>
      </c>
      <c r="AD7" s="75">
        <f>T8</f>
        <v>0</v>
      </c>
      <c r="AE7" s="75">
        <f>T9</f>
        <v>1</v>
      </c>
      <c r="AF7" s="75">
        <f>T10</f>
        <v>0</v>
      </c>
      <c r="AG7" s="75">
        <f>T11</f>
        <v>0</v>
      </c>
      <c r="AH7" s="75">
        <f>T12</f>
        <v>0</v>
      </c>
      <c r="AI7" s="75">
        <f>T13</f>
        <v>0</v>
      </c>
      <c r="AJ7" s="75">
        <f>T14</f>
        <v>0</v>
      </c>
    </row>
    <row r="8" spans="1:36" ht="15" x14ac:dyDescent="0.25">
      <c r="A8" s="2">
        <v>4</v>
      </c>
      <c r="B8" s="2" t="s">
        <v>168</v>
      </c>
      <c r="C8" s="107">
        <v>0</v>
      </c>
      <c r="D8" s="2" t="s">
        <v>167</v>
      </c>
      <c r="E8" s="107">
        <v>0</v>
      </c>
      <c r="F8" s="2" t="s">
        <v>125</v>
      </c>
      <c r="G8" s="2">
        <f t="shared" si="0"/>
        <v>0</v>
      </c>
      <c r="H8" s="2" t="s">
        <v>124</v>
      </c>
      <c r="I8" s="2">
        <f t="shared" si="1"/>
        <v>0</v>
      </c>
      <c r="J8" s="2" t="s">
        <v>123</v>
      </c>
      <c r="K8" s="2">
        <f t="shared" si="2"/>
        <v>0</v>
      </c>
      <c r="L8" s="73"/>
      <c r="M8" s="2" t="s">
        <v>166</v>
      </c>
      <c r="N8" s="87"/>
      <c r="O8" s="72">
        <v>4</v>
      </c>
      <c r="P8" s="104"/>
      <c r="Q8" s="69"/>
      <c r="R8" s="68">
        <v>4</v>
      </c>
      <c r="S8" s="67">
        <f t="shared" si="7"/>
        <v>0</v>
      </c>
      <c r="T8" s="67">
        <f t="shared" si="3"/>
        <v>0</v>
      </c>
      <c r="U8" s="67">
        <f t="shared" si="4"/>
        <v>0</v>
      </c>
      <c r="V8" s="67">
        <f t="shared" si="8"/>
        <v>0</v>
      </c>
      <c r="W8" s="67">
        <f t="shared" si="5"/>
        <v>0</v>
      </c>
      <c r="X8" s="106">
        <f t="shared" si="6"/>
        <v>0</v>
      </c>
      <c r="Y8" s="2"/>
      <c r="Z8" s="75" t="s">
        <v>165</v>
      </c>
      <c r="AA8" s="75">
        <f>U5</f>
        <v>2</v>
      </c>
      <c r="AB8" s="75">
        <f>U6</f>
        <v>0</v>
      </c>
      <c r="AC8" s="75">
        <f>U7</f>
        <v>3</v>
      </c>
      <c r="AD8" s="75">
        <f>U8</f>
        <v>0</v>
      </c>
      <c r="AE8" s="75">
        <f>U9</f>
        <v>6</v>
      </c>
      <c r="AF8" s="75">
        <f>U10</f>
        <v>0</v>
      </c>
      <c r="AG8" s="75">
        <f>U11</f>
        <v>0</v>
      </c>
      <c r="AH8" s="75">
        <f>U12</f>
        <v>0</v>
      </c>
      <c r="AI8" s="75">
        <f>U13</f>
        <v>0</v>
      </c>
      <c r="AJ8" s="75">
        <f>U14</f>
        <v>0</v>
      </c>
    </row>
    <row r="9" spans="1:36" ht="15" x14ac:dyDescent="0.25">
      <c r="A9" s="2">
        <v>5</v>
      </c>
      <c r="B9" s="2" t="s">
        <v>164</v>
      </c>
      <c r="C9" s="107">
        <v>1</v>
      </c>
      <c r="D9" s="2" t="s">
        <v>163</v>
      </c>
      <c r="E9" s="107">
        <v>6</v>
      </c>
      <c r="F9" s="2" t="s">
        <v>121</v>
      </c>
      <c r="G9" s="2">
        <f t="shared" si="0"/>
        <v>1</v>
      </c>
      <c r="H9" s="2" t="s">
        <v>120</v>
      </c>
      <c r="I9" s="2">
        <f t="shared" si="1"/>
        <v>1</v>
      </c>
      <c r="J9" s="2" t="s">
        <v>119</v>
      </c>
      <c r="K9" s="2">
        <f t="shared" si="2"/>
        <v>1</v>
      </c>
      <c r="L9" s="73"/>
      <c r="M9" s="2" t="s">
        <v>162</v>
      </c>
      <c r="N9" s="87"/>
      <c r="O9" s="72">
        <v>5</v>
      </c>
      <c r="P9" s="104"/>
      <c r="Q9" s="69"/>
      <c r="R9" s="68">
        <v>5</v>
      </c>
      <c r="S9" s="67">
        <f t="shared" si="7"/>
        <v>0</v>
      </c>
      <c r="T9" s="67">
        <f t="shared" si="3"/>
        <v>1</v>
      </c>
      <c r="U9" s="67">
        <f t="shared" si="4"/>
        <v>6</v>
      </c>
      <c r="V9" s="67">
        <f t="shared" si="8"/>
        <v>0</v>
      </c>
      <c r="W9" s="67">
        <f t="shared" si="5"/>
        <v>0</v>
      </c>
      <c r="X9" s="106">
        <f t="shared" si="6"/>
        <v>0</v>
      </c>
      <c r="Y9" s="2"/>
      <c r="Z9" s="75" t="s">
        <v>161</v>
      </c>
      <c r="AA9" s="75">
        <f>X5</f>
        <v>0</v>
      </c>
      <c r="AB9" s="75">
        <f>X6</f>
        <v>0</v>
      </c>
      <c r="AC9" s="75">
        <f>X7</f>
        <v>0</v>
      </c>
      <c r="AD9" s="75">
        <f>X8</f>
        <v>0</v>
      </c>
      <c r="AE9" s="75">
        <f>X9</f>
        <v>0</v>
      </c>
      <c r="AF9" s="75">
        <f>X10</f>
        <v>0</v>
      </c>
      <c r="AG9" s="75">
        <f>X11</f>
        <v>0</v>
      </c>
      <c r="AH9" s="75">
        <f>X12</f>
        <v>0</v>
      </c>
      <c r="AI9" s="75">
        <f>X13</f>
        <v>0</v>
      </c>
      <c r="AJ9" s="75">
        <f>X14</f>
        <v>0</v>
      </c>
    </row>
    <row r="10" spans="1:36" x14ac:dyDescent="0.2">
      <c r="A10" s="2">
        <v>6</v>
      </c>
      <c r="B10" s="2" t="s">
        <v>160</v>
      </c>
      <c r="C10" s="107">
        <v>0</v>
      </c>
      <c r="D10" s="2" t="s">
        <v>159</v>
      </c>
      <c r="E10" s="107">
        <v>0</v>
      </c>
      <c r="F10" s="2" t="s">
        <v>117</v>
      </c>
      <c r="G10" s="2">
        <f t="shared" si="0"/>
        <v>0</v>
      </c>
      <c r="H10" s="2" t="s">
        <v>116</v>
      </c>
      <c r="I10" s="2">
        <f t="shared" si="1"/>
        <v>0</v>
      </c>
      <c r="J10" s="2" t="s">
        <v>115</v>
      </c>
      <c r="K10" s="2">
        <f t="shared" si="2"/>
        <v>0</v>
      </c>
      <c r="L10" s="73"/>
      <c r="M10" s="2" t="s">
        <v>158</v>
      </c>
      <c r="N10" s="87"/>
      <c r="O10" s="72">
        <v>6</v>
      </c>
      <c r="P10" s="104"/>
      <c r="Q10" s="69"/>
      <c r="R10" s="68">
        <v>6</v>
      </c>
      <c r="S10" s="67">
        <f t="shared" si="7"/>
        <v>0</v>
      </c>
      <c r="T10" s="67">
        <f t="shared" si="3"/>
        <v>0</v>
      </c>
      <c r="U10" s="67">
        <f t="shared" si="4"/>
        <v>0</v>
      </c>
      <c r="V10" s="67">
        <f t="shared" si="8"/>
        <v>0</v>
      </c>
      <c r="W10" s="67">
        <f t="shared" si="5"/>
        <v>0</v>
      </c>
      <c r="X10" s="106">
        <f t="shared" si="6"/>
        <v>0</v>
      </c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6" x14ac:dyDescent="0.2">
      <c r="A11" s="2">
        <v>7</v>
      </c>
      <c r="B11" s="2" t="s">
        <v>157</v>
      </c>
      <c r="C11" s="107">
        <v>0</v>
      </c>
      <c r="D11" s="2" t="s">
        <v>156</v>
      </c>
      <c r="E11" s="107">
        <v>0</v>
      </c>
      <c r="F11" s="2" t="s">
        <v>113</v>
      </c>
      <c r="G11" s="2">
        <f t="shared" si="0"/>
        <v>0</v>
      </c>
      <c r="H11" s="2" t="s">
        <v>112</v>
      </c>
      <c r="I11" s="2">
        <f t="shared" si="1"/>
        <v>0</v>
      </c>
      <c r="J11" s="2" t="s">
        <v>111</v>
      </c>
      <c r="K11" s="2">
        <f t="shared" si="2"/>
        <v>0</v>
      </c>
      <c r="L11" s="73"/>
      <c r="M11" s="2" t="s">
        <v>155</v>
      </c>
      <c r="N11" s="87"/>
      <c r="O11" s="72">
        <v>7</v>
      </c>
      <c r="P11" s="104"/>
      <c r="Q11" s="69"/>
      <c r="R11" s="68">
        <v>7</v>
      </c>
      <c r="S11" s="67">
        <f t="shared" si="7"/>
        <v>0</v>
      </c>
      <c r="T11" s="67">
        <f t="shared" si="3"/>
        <v>0</v>
      </c>
      <c r="U11" s="67">
        <f t="shared" si="4"/>
        <v>0</v>
      </c>
      <c r="V11" s="67">
        <f t="shared" si="8"/>
        <v>0</v>
      </c>
      <c r="W11" s="67">
        <f t="shared" si="5"/>
        <v>0</v>
      </c>
      <c r="X11" s="106">
        <f t="shared" si="6"/>
        <v>0</v>
      </c>
      <c r="Y11" s="2"/>
      <c r="Z11" s="2"/>
    </row>
    <row r="12" spans="1:36" x14ac:dyDescent="0.2">
      <c r="A12" s="2">
        <v>8</v>
      </c>
      <c r="B12" s="2" t="s">
        <v>154</v>
      </c>
      <c r="C12" s="107">
        <v>0</v>
      </c>
      <c r="D12" s="2" t="s">
        <v>153</v>
      </c>
      <c r="E12" s="107">
        <v>0</v>
      </c>
      <c r="F12" s="2" t="s">
        <v>109</v>
      </c>
      <c r="G12" s="2">
        <f t="shared" si="0"/>
        <v>0</v>
      </c>
      <c r="H12" s="2" t="s">
        <v>108</v>
      </c>
      <c r="I12" s="2">
        <f t="shared" si="1"/>
        <v>0</v>
      </c>
      <c r="J12" s="2" t="s">
        <v>107</v>
      </c>
      <c r="K12" s="2">
        <f t="shared" si="2"/>
        <v>0</v>
      </c>
      <c r="L12" s="73"/>
      <c r="M12" s="2" t="s">
        <v>152</v>
      </c>
      <c r="N12" s="74">
        <f>10000000000</f>
        <v>10000000000</v>
      </c>
      <c r="O12" s="72">
        <v>8</v>
      </c>
      <c r="P12" s="104"/>
      <c r="Q12" s="69"/>
      <c r="R12" s="68">
        <v>8</v>
      </c>
      <c r="S12" s="67">
        <f t="shared" si="7"/>
        <v>0</v>
      </c>
      <c r="T12" s="67">
        <f t="shared" si="3"/>
        <v>0</v>
      </c>
      <c r="U12" s="67">
        <f t="shared" si="4"/>
        <v>0</v>
      </c>
      <c r="V12" s="67">
        <f t="shared" si="8"/>
        <v>0</v>
      </c>
      <c r="W12" s="67">
        <f t="shared" si="5"/>
        <v>0</v>
      </c>
      <c r="X12" s="106">
        <f t="shared" si="6"/>
        <v>0</v>
      </c>
      <c r="Y12" s="2"/>
      <c r="Z12" s="2"/>
    </row>
    <row r="13" spans="1:36" x14ac:dyDescent="0.2">
      <c r="A13" s="2">
        <v>9</v>
      </c>
      <c r="B13" s="2" t="s">
        <v>151</v>
      </c>
      <c r="C13" s="107">
        <v>0</v>
      </c>
      <c r="D13" s="2" t="s">
        <v>150</v>
      </c>
      <c r="E13" s="107">
        <v>0</v>
      </c>
      <c r="F13" s="2" t="s">
        <v>105</v>
      </c>
      <c r="G13" s="2">
        <f t="shared" si="0"/>
        <v>0</v>
      </c>
      <c r="H13" s="2" t="s">
        <v>104</v>
      </c>
      <c r="I13" s="2">
        <f t="shared" si="1"/>
        <v>0</v>
      </c>
      <c r="J13" s="2" t="s">
        <v>103</v>
      </c>
      <c r="K13" s="2">
        <f t="shared" si="2"/>
        <v>0</v>
      </c>
      <c r="L13" s="73"/>
      <c r="M13" s="2"/>
      <c r="N13" s="2"/>
      <c r="O13" s="72">
        <v>9</v>
      </c>
      <c r="P13" s="104"/>
      <c r="Q13" s="69"/>
      <c r="R13" s="68">
        <v>9</v>
      </c>
      <c r="S13" s="67">
        <f t="shared" si="7"/>
        <v>0</v>
      </c>
      <c r="T13" s="67">
        <f t="shared" si="3"/>
        <v>0</v>
      </c>
      <c r="U13" s="67">
        <f t="shared" si="4"/>
        <v>0</v>
      </c>
      <c r="V13" s="67">
        <f t="shared" si="8"/>
        <v>0</v>
      </c>
      <c r="W13" s="67">
        <f t="shared" si="5"/>
        <v>0</v>
      </c>
      <c r="X13" s="106">
        <f t="shared" si="6"/>
        <v>0</v>
      </c>
      <c r="Y13" s="2"/>
      <c r="Z13" s="2"/>
    </row>
    <row r="14" spans="1:36" x14ac:dyDescent="0.2">
      <c r="A14" s="2">
        <v>10</v>
      </c>
      <c r="B14" s="2" t="s">
        <v>149</v>
      </c>
      <c r="C14" s="107">
        <v>0</v>
      </c>
      <c r="D14" s="2" t="s">
        <v>148</v>
      </c>
      <c r="E14" s="107">
        <v>0</v>
      </c>
      <c r="F14" s="2" t="s">
        <v>99</v>
      </c>
      <c r="G14" s="2">
        <f t="shared" si="0"/>
        <v>0</v>
      </c>
      <c r="H14" s="2" t="s">
        <v>98</v>
      </c>
      <c r="I14" s="2">
        <f t="shared" si="1"/>
        <v>0</v>
      </c>
      <c r="J14" s="2" t="s">
        <v>97</v>
      </c>
      <c r="K14" s="2">
        <f t="shared" si="2"/>
        <v>0</v>
      </c>
      <c r="L14" s="71"/>
      <c r="M14" s="2"/>
      <c r="N14" s="2"/>
      <c r="O14" s="70">
        <v>10</v>
      </c>
      <c r="P14" s="105"/>
      <c r="Q14" s="69"/>
      <c r="R14" s="68">
        <v>10</v>
      </c>
      <c r="S14" s="67">
        <f t="shared" si="7"/>
        <v>0</v>
      </c>
      <c r="T14" s="67">
        <f t="shared" si="3"/>
        <v>0</v>
      </c>
      <c r="U14" s="67">
        <f t="shared" si="4"/>
        <v>0</v>
      </c>
      <c r="V14" s="67">
        <f t="shared" si="8"/>
        <v>0</v>
      </c>
      <c r="W14" s="67">
        <f t="shared" si="5"/>
        <v>0</v>
      </c>
      <c r="X14" s="106">
        <f>C14*$N$5+E14*$N$6</f>
        <v>0</v>
      </c>
      <c r="Y14" s="2"/>
      <c r="Z14" s="2"/>
    </row>
    <row r="15" spans="1:36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36" ht="15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2"/>
      <c r="Y16" s="2"/>
      <c r="Z16" s="2"/>
    </row>
    <row r="17" spans="1:26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90"/>
      <c r="N17" s="90"/>
      <c r="O17" s="90"/>
      <c r="P17" s="90"/>
      <c r="Q17" s="90"/>
      <c r="R17" s="90"/>
      <c r="S17" s="90"/>
      <c r="T17" s="90"/>
      <c r="U17" s="90"/>
      <c r="V17" s="2"/>
      <c r="W17" s="2"/>
      <c r="X17" s="2"/>
      <c r="Y17" s="2"/>
      <c r="Z17" s="2"/>
    </row>
    <row r="18" spans="1:26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2"/>
      <c r="Y18" s="2"/>
      <c r="Z18" s="2"/>
    </row>
    <row r="19" spans="1:26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.75" x14ac:dyDescent="0.25">
      <c r="A20" s="2"/>
      <c r="B20" s="66" t="s">
        <v>147</v>
      </c>
      <c r="C20" s="2" t="s">
        <v>146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2">
      <c r="A21" s="2"/>
      <c r="B21" s="2" t="s">
        <v>145</v>
      </c>
      <c r="C21" s="2" t="s">
        <v>144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X21" s="2"/>
      <c r="Y21" s="2"/>
      <c r="Z21" s="2"/>
    </row>
    <row r="22" spans="1:26" x14ac:dyDescent="0.2">
      <c r="A22" s="2"/>
      <c r="B22" s="2" t="s">
        <v>142</v>
      </c>
      <c r="C22" s="2">
        <f t="shared" ref="C22:C32" si="9">S4</f>
        <v>0</v>
      </c>
      <c r="D22" s="2" t="s">
        <v>101</v>
      </c>
      <c r="E22" s="2">
        <v>0</v>
      </c>
      <c r="F22" s="2"/>
      <c r="G22" s="2"/>
      <c r="H22" s="2" t="s">
        <v>143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X22" s="2"/>
      <c r="Y22" s="2"/>
      <c r="Z22" s="2"/>
    </row>
    <row r="23" spans="1:26" x14ac:dyDescent="0.2">
      <c r="A23" s="2"/>
      <c r="B23" s="2" t="s">
        <v>138</v>
      </c>
      <c r="C23" s="2">
        <f t="shared" si="9"/>
        <v>0</v>
      </c>
      <c r="D23" s="2" t="s">
        <v>101</v>
      </c>
      <c r="E23" s="2" t="s">
        <v>138</v>
      </c>
      <c r="F23" s="2"/>
      <c r="G23" s="2"/>
      <c r="H23" s="2">
        <v>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X23" s="2"/>
      <c r="Y23" s="2"/>
      <c r="Z23" s="2"/>
    </row>
    <row r="24" spans="1:26" x14ac:dyDescent="0.2">
      <c r="A24" s="2"/>
      <c r="B24" s="2" t="s">
        <v>134</v>
      </c>
      <c r="C24" s="2">
        <f t="shared" si="9"/>
        <v>0</v>
      </c>
      <c r="D24" s="2" t="s">
        <v>101</v>
      </c>
      <c r="E24" s="2" t="s">
        <v>134</v>
      </c>
      <c r="F24" s="2"/>
      <c r="G24" s="2"/>
      <c r="H24" s="2">
        <v>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X24" s="2"/>
      <c r="Y24" s="2"/>
      <c r="Z24" s="2"/>
    </row>
    <row r="25" spans="1:26" x14ac:dyDescent="0.2">
      <c r="A25" s="2"/>
      <c r="B25" s="2" t="s">
        <v>130</v>
      </c>
      <c r="C25" s="2">
        <f t="shared" si="9"/>
        <v>0</v>
      </c>
      <c r="D25" s="2" t="s">
        <v>101</v>
      </c>
      <c r="E25" s="2" t="s">
        <v>130</v>
      </c>
      <c r="F25" s="2"/>
      <c r="G25" s="2"/>
      <c r="H25" s="2">
        <v>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X25" s="2"/>
      <c r="Y25" s="2"/>
      <c r="Z25" s="2"/>
    </row>
    <row r="26" spans="1:26" x14ac:dyDescent="0.2">
      <c r="A26" s="2"/>
      <c r="B26" s="2" t="s">
        <v>126</v>
      </c>
      <c r="C26" s="2">
        <f t="shared" si="9"/>
        <v>0</v>
      </c>
      <c r="D26" s="2" t="s">
        <v>101</v>
      </c>
      <c r="E26" s="2" t="s">
        <v>100</v>
      </c>
      <c r="F26" s="2"/>
      <c r="G26" s="2"/>
      <c r="H26" s="2">
        <v>0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X26" s="2"/>
      <c r="Y26" s="2"/>
      <c r="Z26" s="2"/>
    </row>
    <row r="27" spans="1:26" x14ac:dyDescent="0.2">
      <c r="A27" s="2"/>
      <c r="B27" s="2" t="s">
        <v>122</v>
      </c>
      <c r="C27" s="2">
        <f t="shared" si="9"/>
        <v>0</v>
      </c>
      <c r="D27" s="2" t="s">
        <v>101</v>
      </c>
      <c r="E27" s="2" t="s">
        <v>100</v>
      </c>
      <c r="F27" s="2"/>
      <c r="G27" s="2"/>
      <c r="H27" s="2">
        <v>0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X27" s="2"/>
      <c r="Y27" s="2"/>
      <c r="Z27" s="2"/>
    </row>
    <row r="28" spans="1:26" x14ac:dyDescent="0.2">
      <c r="A28" s="2"/>
      <c r="B28" s="2" t="s">
        <v>118</v>
      </c>
      <c r="C28" s="2">
        <f t="shared" si="9"/>
        <v>0</v>
      </c>
      <c r="D28" s="2" t="s">
        <v>101</v>
      </c>
      <c r="E28" s="2" t="s">
        <v>100</v>
      </c>
      <c r="F28" s="2"/>
      <c r="G28" s="2"/>
      <c r="H28" s="2">
        <v>0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X28" s="2"/>
      <c r="Y28" s="2"/>
      <c r="Z28" s="2"/>
    </row>
    <row r="29" spans="1:26" x14ac:dyDescent="0.2">
      <c r="A29" s="2"/>
      <c r="B29" s="2" t="s">
        <v>114</v>
      </c>
      <c r="C29" s="2">
        <f t="shared" si="9"/>
        <v>0</v>
      </c>
      <c r="D29" s="2" t="s">
        <v>101</v>
      </c>
      <c r="E29" s="2" t="s">
        <v>100</v>
      </c>
      <c r="F29" s="2"/>
      <c r="G29" s="2"/>
      <c r="H29" s="2">
        <v>0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X29" s="2"/>
      <c r="Y29" s="2"/>
      <c r="Z29" s="2"/>
    </row>
    <row r="30" spans="1:26" x14ac:dyDescent="0.2">
      <c r="A30" s="2"/>
      <c r="B30" s="2" t="s">
        <v>110</v>
      </c>
      <c r="C30" s="2">
        <f t="shared" si="9"/>
        <v>0</v>
      </c>
      <c r="D30" s="2" t="s">
        <v>101</v>
      </c>
      <c r="E30" s="2" t="s">
        <v>100</v>
      </c>
      <c r="F30" s="2"/>
      <c r="G30" s="2"/>
      <c r="H30" s="2">
        <v>0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X30" s="2"/>
      <c r="Y30" s="2"/>
      <c r="Z30" s="2"/>
    </row>
    <row r="31" spans="1:26" ht="14.25" customHeight="1" x14ac:dyDescent="0.2">
      <c r="A31" s="2"/>
      <c r="B31" s="2" t="s">
        <v>106</v>
      </c>
      <c r="C31" s="2">
        <f t="shared" si="9"/>
        <v>0</v>
      </c>
      <c r="D31" s="2" t="s">
        <v>101</v>
      </c>
      <c r="E31" s="2" t="s">
        <v>100</v>
      </c>
      <c r="F31" s="2"/>
      <c r="G31" s="2"/>
      <c r="H31" s="2">
        <v>0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X31" s="2"/>
      <c r="Y31" s="2"/>
      <c r="Z31" s="2"/>
    </row>
    <row r="32" spans="1:26" x14ac:dyDescent="0.2">
      <c r="A32" s="2"/>
      <c r="B32" s="2" t="s">
        <v>102</v>
      </c>
      <c r="C32" s="2">
        <f t="shared" si="9"/>
        <v>0</v>
      </c>
      <c r="D32" s="2" t="s">
        <v>101</v>
      </c>
      <c r="E32" s="2" t="s">
        <v>100</v>
      </c>
      <c r="F32" s="2"/>
      <c r="G32" s="2"/>
      <c r="H32" s="2">
        <v>0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X32" s="2"/>
      <c r="Y32" s="2"/>
      <c r="Z32" s="2"/>
    </row>
    <row r="33" spans="1:26" x14ac:dyDescent="0.2">
      <c r="A33" s="2"/>
      <c r="B33" s="2"/>
      <c r="C33" s="2"/>
      <c r="D33" s="2"/>
      <c r="E33" s="2"/>
      <c r="F33" s="2"/>
      <c r="G33" s="2"/>
      <c r="H33" s="2">
        <v>0</v>
      </c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2">
      <c r="X34" s="2"/>
      <c r="Y34" s="2"/>
      <c r="Z34" s="2"/>
    </row>
    <row r="35" spans="1:26" x14ac:dyDescent="0.2">
      <c r="X35" s="2"/>
      <c r="Y35" s="2"/>
      <c r="Z35" s="2"/>
    </row>
    <row r="36" spans="1:26" x14ac:dyDescent="0.2">
      <c r="X36" s="2"/>
      <c r="Y36" s="2"/>
      <c r="Z36" s="2"/>
    </row>
    <row r="37" spans="1:26" x14ac:dyDescent="0.2">
      <c r="X37" s="2"/>
      <c r="Y37" s="2"/>
      <c r="Z37" s="2"/>
    </row>
    <row r="38" spans="1:26" x14ac:dyDescent="0.2">
      <c r="S38" s="2"/>
      <c r="T38" s="2"/>
      <c r="U38" s="2"/>
      <c r="V38" s="2"/>
      <c r="W38" s="2"/>
      <c r="X38" s="2"/>
      <c r="Y38" s="2"/>
      <c r="Z38" s="2"/>
    </row>
    <row r="39" spans="1:26" x14ac:dyDescent="0.2">
      <c r="S39" s="2"/>
      <c r="T39" s="2"/>
      <c r="U39" s="2"/>
      <c r="V39" s="2"/>
      <c r="W39" s="2"/>
      <c r="X39" s="2"/>
      <c r="Y39" s="2"/>
      <c r="Z39" s="2"/>
    </row>
    <row r="44" spans="1:26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</row>
    <row r="45" spans="1:26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</sheetData>
  <mergeCells count="2">
    <mergeCell ref="Y2:Z2"/>
    <mergeCell ref="AC3:AE3"/>
  </mergeCells>
  <conditionalFormatting sqref="M16:P16">
    <cfRule type="expression" dxfId="6" priority="8">
      <formula>CELL("protect",M16)=0</formula>
    </cfRule>
  </conditionalFormatting>
  <conditionalFormatting sqref="R16 T16:W16">
    <cfRule type="expression" dxfId="5" priority="7">
      <formula>CELL("protect",R16)=0</formula>
    </cfRule>
  </conditionalFormatting>
  <conditionalFormatting sqref="S16">
    <cfRule type="expression" dxfId="4" priority="6">
      <formula>CELL("protect",S16)=0</formula>
    </cfRule>
  </conditionalFormatting>
  <conditionalFormatting sqref="Q16">
    <cfRule type="expression" dxfId="3" priority="5">
      <formula>CELL("protect",Q16)=0</formula>
    </cfRule>
  </conditionalFormatting>
  <conditionalFormatting sqref="N17:U17">
    <cfRule type="expression" dxfId="2" priority="3">
      <formula>INDEX(Name,$A17)=""</formula>
    </cfRule>
  </conditionalFormatting>
  <conditionalFormatting sqref="O17:P17">
    <cfRule type="expression" dxfId="1" priority="4">
      <formula>AND(OR($D17="FP",$D17="FQ"),$E17="")</formula>
    </cfRule>
  </conditionalFormatting>
  <conditionalFormatting sqref="N18:W18">
    <cfRule type="expression" dxfId="0" priority="1">
      <formula>INDEX(Name,$A18)=""</formula>
    </cfRule>
  </conditionalFormatting>
  <dataValidations count="3">
    <dataValidation type="decimal" operator="greaterThanOrEqual" allowBlank="1" showInputMessage="1" showErrorMessage="1" errorTitle="Values" error="Input must be greater than or equal zero" sqref="U17" xr:uid="{102C414A-BEB8-40A7-B60A-1243A3912A9F}">
      <formula1>0</formula1>
    </dataValidation>
    <dataValidation type="whole" operator="greaterThanOrEqual" allowBlank="1" showInputMessage="1" showErrorMessage="1" errorTitle="Values" error="Input must be integer greater than or equal zero" sqref="T17" xr:uid="{90E72D7A-69B2-43D1-93CA-FCBE93044C2B}">
      <formula1>0</formula1>
    </dataValidation>
    <dataValidation type="whole" operator="greaterThanOrEqual" allowBlank="1" showInputMessage="1" showErrorMessage="1" error="Input must be integer greater than or equal zero" sqref="M17:R17" xr:uid="{36EC4E40-F1B1-4618-AACD-66811974F8C4}">
      <formula1>0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16</vt:i4>
      </vt:variant>
      <vt:variant>
        <vt:lpstr>טווחים בעלי שם</vt:lpstr>
      </vt:variant>
      <vt:variant>
        <vt:i4>194</vt:i4>
      </vt:variant>
    </vt:vector>
  </HeadingPairs>
  <TitlesOfParts>
    <vt:vector size="210" baseType="lpstr">
      <vt:lpstr>Input</vt:lpstr>
      <vt:lpstr>Summary</vt:lpstr>
      <vt:lpstr>Item A</vt:lpstr>
      <vt:lpstr>Item B</vt:lpstr>
      <vt:lpstr>Item C</vt:lpstr>
      <vt:lpstr>Item D</vt:lpstr>
      <vt:lpstr>Item E</vt:lpstr>
      <vt:lpstr>Raw F</vt:lpstr>
      <vt:lpstr>Raw G</vt:lpstr>
      <vt:lpstr>Raw H</vt:lpstr>
      <vt:lpstr>Raw I</vt:lpstr>
      <vt:lpstr>WW</vt:lpstr>
      <vt:lpstr>S&amp;M</vt:lpstr>
      <vt:lpstr>LFL</vt:lpstr>
      <vt:lpstr>FP</vt:lpstr>
      <vt:lpstr>LP</vt:lpstr>
      <vt:lpstr>A_D</vt:lpstr>
      <vt:lpstr>A_DATA</vt:lpstr>
      <vt:lpstr>A_ED</vt:lpstr>
      <vt:lpstr>A_ID</vt:lpstr>
      <vt:lpstr>A_LS</vt:lpstr>
      <vt:lpstr>A_LT</vt:lpstr>
      <vt:lpstr>A_OH</vt:lpstr>
      <vt:lpstr>A_Q</vt:lpstr>
      <vt:lpstr>A_R</vt:lpstr>
      <vt:lpstr>A_SS</vt:lpstr>
      <vt:lpstr>A_V</vt:lpstr>
      <vt:lpstr>A_X</vt:lpstr>
      <vt:lpstr>A_Y</vt:lpstr>
      <vt:lpstr>B_D</vt:lpstr>
      <vt:lpstr>B_DATA</vt:lpstr>
      <vt:lpstr>B_ED</vt:lpstr>
      <vt:lpstr>B_ID</vt:lpstr>
      <vt:lpstr>B_LS</vt:lpstr>
      <vt:lpstr>B_LT</vt:lpstr>
      <vt:lpstr>B_OH</vt:lpstr>
      <vt:lpstr>B_Q</vt:lpstr>
      <vt:lpstr>B_R</vt:lpstr>
      <vt:lpstr>B_SS</vt:lpstr>
      <vt:lpstr>B_V</vt:lpstr>
      <vt:lpstr>B_X</vt:lpstr>
      <vt:lpstr>B_Y</vt:lpstr>
      <vt:lpstr>C_D</vt:lpstr>
      <vt:lpstr>C_DATA</vt:lpstr>
      <vt:lpstr>C_ED</vt:lpstr>
      <vt:lpstr>C_ID</vt:lpstr>
      <vt:lpstr>C_LS</vt:lpstr>
      <vt:lpstr>C_LT</vt:lpstr>
      <vt:lpstr>C_OH</vt:lpstr>
      <vt:lpstr>C_Q</vt:lpstr>
      <vt:lpstr>C_R</vt:lpstr>
      <vt:lpstr>C_SS</vt:lpstr>
      <vt:lpstr>C_V</vt:lpstr>
      <vt:lpstr>C_X</vt:lpstr>
      <vt:lpstr>C_Y</vt:lpstr>
      <vt:lpstr>D_D</vt:lpstr>
      <vt:lpstr>D_DATA</vt:lpstr>
      <vt:lpstr>D_ED</vt:lpstr>
      <vt:lpstr>D_ID</vt:lpstr>
      <vt:lpstr>D_LS</vt:lpstr>
      <vt:lpstr>D_LT</vt:lpstr>
      <vt:lpstr>D_OH</vt:lpstr>
      <vt:lpstr>D_Q</vt:lpstr>
      <vt:lpstr>D_R</vt:lpstr>
      <vt:lpstr>D_SS</vt:lpstr>
      <vt:lpstr>D_V</vt:lpstr>
      <vt:lpstr>D_X</vt:lpstr>
      <vt:lpstr>D_Y</vt:lpstr>
      <vt:lpstr>DATA_A</vt:lpstr>
      <vt:lpstr>DATA_B</vt:lpstr>
      <vt:lpstr>DATA_C</vt:lpstr>
      <vt:lpstr>DATA_D</vt:lpstr>
      <vt:lpstr>DATA_E</vt:lpstr>
      <vt:lpstr>DATA_F</vt:lpstr>
      <vt:lpstr>DATA_G</vt:lpstr>
      <vt:lpstr>DATA_H</vt:lpstr>
      <vt:lpstr>DATA_I</vt:lpstr>
      <vt:lpstr>E_D</vt:lpstr>
      <vt:lpstr>E_DATA</vt:lpstr>
      <vt:lpstr>E_ED</vt:lpstr>
      <vt:lpstr>E_ID</vt:lpstr>
      <vt:lpstr>E_LS</vt:lpstr>
      <vt:lpstr>E_LT</vt:lpstr>
      <vt:lpstr>E_OH</vt:lpstr>
      <vt:lpstr>E_Q</vt:lpstr>
      <vt:lpstr>E_R</vt:lpstr>
      <vt:lpstr>E_SS</vt:lpstr>
      <vt:lpstr>E_V</vt:lpstr>
      <vt:lpstr>E_X</vt:lpstr>
      <vt:lpstr>E_Y</vt:lpstr>
      <vt:lpstr>ED_A</vt:lpstr>
      <vt:lpstr>ED_B</vt:lpstr>
      <vt:lpstr>ED_C</vt:lpstr>
      <vt:lpstr>ED_D</vt:lpstr>
      <vt:lpstr>ED_E</vt:lpstr>
      <vt:lpstr>ED_F</vt:lpstr>
      <vt:lpstr>ED_G</vt:lpstr>
      <vt:lpstr>ED_H</vt:lpstr>
      <vt:lpstr>ED_I</vt:lpstr>
      <vt:lpstr>F_B1</vt:lpstr>
      <vt:lpstr>F_B2</vt:lpstr>
      <vt:lpstr>F_D</vt:lpstr>
      <vt:lpstr>F_DATA</vt:lpstr>
      <vt:lpstr>F_ED</vt:lpstr>
      <vt:lpstr>F_ID</vt:lpstr>
      <vt:lpstr>F_LT</vt:lpstr>
      <vt:lpstr>F_OH</vt:lpstr>
      <vt:lpstr>F_Q</vt:lpstr>
      <vt:lpstr>F_R</vt:lpstr>
      <vt:lpstr>F_SS</vt:lpstr>
      <vt:lpstr>F_V</vt:lpstr>
      <vt:lpstr>F_X</vt:lpstr>
      <vt:lpstr>F_Y</vt:lpstr>
      <vt:lpstr>FP_h</vt:lpstr>
      <vt:lpstr>FP_k</vt:lpstr>
      <vt:lpstr>FP_Q</vt:lpstr>
      <vt:lpstr>FP_size</vt:lpstr>
      <vt:lpstr>FP_V</vt:lpstr>
      <vt:lpstr>G_B1</vt:lpstr>
      <vt:lpstr>G_B2</vt:lpstr>
      <vt:lpstr>G_D</vt:lpstr>
      <vt:lpstr>G_DATA</vt:lpstr>
      <vt:lpstr>G_ED</vt:lpstr>
      <vt:lpstr>G_ID</vt:lpstr>
      <vt:lpstr>G_LT</vt:lpstr>
      <vt:lpstr>G_OH</vt:lpstr>
      <vt:lpstr>G_Q</vt:lpstr>
      <vt:lpstr>G_R</vt:lpstr>
      <vt:lpstr>G_SS</vt:lpstr>
      <vt:lpstr>G_V</vt:lpstr>
      <vt:lpstr>G_X</vt:lpstr>
      <vt:lpstr>G_Y</vt:lpstr>
      <vt:lpstr>H_B1</vt:lpstr>
      <vt:lpstr>H_B2</vt:lpstr>
      <vt:lpstr>H_D</vt:lpstr>
      <vt:lpstr>H_DATA</vt:lpstr>
      <vt:lpstr>H_ED</vt:lpstr>
      <vt:lpstr>H_ID</vt:lpstr>
      <vt:lpstr>H_LT</vt:lpstr>
      <vt:lpstr>H_OH</vt:lpstr>
      <vt:lpstr>H_Q</vt:lpstr>
      <vt:lpstr>H_R</vt:lpstr>
      <vt:lpstr>H_SS</vt:lpstr>
      <vt:lpstr>H_V</vt:lpstr>
      <vt:lpstr>H_X</vt:lpstr>
      <vt:lpstr>H_Y</vt:lpstr>
      <vt:lpstr>I_B1</vt:lpstr>
      <vt:lpstr>I_B2</vt:lpstr>
      <vt:lpstr>I_D</vt:lpstr>
      <vt:lpstr>I_DATA</vt:lpstr>
      <vt:lpstr>I_ED</vt:lpstr>
      <vt:lpstr>I_ID</vt:lpstr>
      <vt:lpstr>I_LT</vt:lpstr>
      <vt:lpstr>I_OH</vt:lpstr>
      <vt:lpstr>I_Q</vt:lpstr>
      <vt:lpstr>I_R</vt:lpstr>
      <vt:lpstr>I_SS</vt:lpstr>
      <vt:lpstr>I_V</vt:lpstr>
      <vt:lpstr>I_X</vt:lpstr>
      <vt:lpstr>I_Y</vt:lpstr>
      <vt:lpstr>LFL_h</vt:lpstr>
      <vt:lpstr>LFL_k</vt:lpstr>
      <vt:lpstr>LFL_Q</vt:lpstr>
      <vt:lpstr>LFL_V</vt:lpstr>
      <vt:lpstr>LP_B1</vt:lpstr>
      <vt:lpstr>LP_B1_SOLUTION</vt:lpstr>
      <vt:lpstr>LP_B2</vt:lpstr>
      <vt:lpstr>LP_B2_SOLUTION</vt:lpstr>
      <vt:lpstr>LP_DATA</vt:lpstr>
      <vt:lpstr>LP_I</vt:lpstr>
      <vt:lpstr>LP_I0</vt:lpstr>
      <vt:lpstr>LP_INPUT</vt:lpstr>
      <vt:lpstr>LP_Objective</vt:lpstr>
      <vt:lpstr>LP_Positive</vt:lpstr>
      <vt:lpstr>LP_Q</vt:lpstr>
      <vt:lpstr>LP_Q_SOLUTION</vt:lpstr>
      <vt:lpstr>LP_Unnegative</vt:lpstr>
      <vt:lpstr>LP_V</vt:lpstr>
      <vt:lpstr>LP_V0</vt:lpstr>
      <vt:lpstr>LP_Vars</vt:lpstr>
      <vt:lpstr>LP_VT</vt:lpstr>
      <vt:lpstr>Q_A</vt:lpstr>
      <vt:lpstr>Q_B</vt:lpstr>
      <vt:lpstr>Q_C</vt:lpstr>
      <vt:lpstr>Q_D</vt:lpstr>
      <vt:lpstr>Q_E</vt:lpstr>
      <vt:lpstr>Q_F</vt:lpstr>
      <vt:lpstr>Q_G</vt:lpstr>
      <vt:lpstr>Q_H</vt:lpstr>
      <vt:lpstr>Q_I</vt:lpstr>
      <vt:lpstr>SM_h</vt:lpstr>
      <vt:lpstr>SM_k</vt:lpstr>
      <vt:lpstr>SM_pre</vt:lpstr>
      <vt:lpstr>SM_Q</vt:lpstr>
      <vt:lpstr>SM_V</vt:lpstr>
      <vt:lpstr>WW_h</vt:lpstr>
      <vt:lpstr>WW_k</vt:lpstr>
      <vt:lpstr>WW_mincost</vt:lpstr>
      <vt:lpstr>WW_pre</vt:lpstr>
      <vt:lpstr>WW_Q</vt:lpstr>
      <vt:lpstr>WW_V</vt:lpstr>
      <vt:lpstr>X_A</vt:lpstr>
      <vt:lpstr>X_B</vt:lpstr>
      <vt:lpstr>X_C</vt:lpstr>
      <vt:lpstr>X_D</vt:lpstr>
      <vt:lpstr>X_E</vt:lpstr>
      <vt:lpstr>X_F</vt:lpstr>
      <vt:lpstr>X_G</vt:lpstr>
      <vt:lpstr>X_H</vt:lpstr>
      <vt:lpstr>X_I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Niv P</cp:lastModifiedBy>
  <dcterms:created xsi:type="dcterms:W3CDTF">2022-04-04T09:37:27Z</dcterms:created>
  <dcterms:modified xsi:type="dcterms:W3CDTF">2024-08-16T16:10:11Z</dcterms:modified>
</cp:coreProperties>
</file>